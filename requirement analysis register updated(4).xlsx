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Key" sheetId="1" r:id="rId5"/>
    <sheet state="visible" name="IR" sheetId="2" r:id="rId6"/>
    <sheet state="visible" name="BR-DR" sheetId="3" r:id="rId7"/>
    <sheet state="visible" name="OI" sheetId="4" r:id="rId8"/>
    <sheet state="visible" name="SR" sheetId="5" r:id="rId9"/>
    <sheet state="visible" name="Conflicts" sheetId="6" r:id="rId10"/>
    <sheet state="visible" name="Sources" sheetId="7" r:id="rId11"/>
    <sheet state="visible" name="Questionnaire" sheetId="8" r:id="rId12"/>
    <sheet state="visible" name="Draft Requirements" sheetId="9" r:id="rId13"/>
    <sheet state="visible" name="Final FRNFR" sheetId="10" r:id="rId14"/>
  </sheets>
  <definedNames>
    <definedName hidden="1" localSheetId="1" name="_xlnm._FilterDatabase">IR!$A$3:$J$15</definedName>
    <definedName hidden="1" localSheetId="2" name="_xlnm._FilterDatabase">'BR-DR'!$A$3:$J$20</definedName>
    <definedName hidden="1" localSheetId="3" name="_xlnm._FilterDatabase">OI!$A$3:$K$45</definedName>
    <definedName hidden="1" localSheetId="4" name="_xlnm._FilterDatabase">SR!$A$3:$H$13</definedName>
    <definedName hidden="1" localSheetId="5" name="_xlnm._FilterDatabase">Conflicts!$A$3:$H$9</definedName>
    <definedName hidden="1" localSheetId="6" name="_xlnm._FilterDatabase">Sources!$A$3:$H$10</definedName>
    <definedName hidden="1" localSheetId="7" name="_xlnm._FilterDatabase">Questionnaire!$A$3:$M$8</definedName>
    <definedName hidden="1" localSheetId="8" name="_xlnm._FilterDatabase">'Draft Requirements'!$A$3:$G$65</definedName>
    <definedName hidden="1" localSheetId="9" name="_xlnm._FilterDatabase">'Final FRNFR'!$A$1:$G$39</definedName>
  </definedNames>
  <calcPr/>
</workbook>
</file>

<file path=xl/sharedStrings.xml><?xml version="1.0" encoding="utf-8"?>
<sst xmlns="http://schemas.openxmlformats.org/spreadsheetml/2006/main" count="2348" uniqueCount="1118">
  <si>
    <t>Key: what is original and what was added</t>
  </si>
  <si>
    <t>Initial Requirements Register (IR)</t>
  </si>
  <si>
    <t>Business / Domain Rules Register (BR-DR)</t>
  </si>
  <si>
    <t>Open Issues / Elicitation Register (OI)</t>
  </si>
  <si>
    <t>Colour</t>
  </si>
  <si>
    <t>Rules and facts extracted from the project description’s company/context narrative. Document-derived items are not automatically final software requirements; validate unclear items with stakeholders.</t>
  </si>
  <si>
    <t>Where</t>
  </si>
  <si>
    <t>Meaning</t>
  </si>
  <si>
    <t>IR, BR-DR, OI tabs</t>
  </si>
  <si>
    <t>Unhighlighted cells are your original register, unchanged (IDs, original wording, issues, clarification focus, stakeholders, sources).</t>
  </si>
  <si>
    <t>Use this as the interview-planning and traceability register. Do not resolve issues by assumption: record the stakeholder answer and evidence reference, then update the status.</t>
  </si>
  <si>
    <t>Original IR wording is kept separate from analysis. Fill Resolution and Evidence only after stakeholder elicitation; map resolved items to final SRS requirement IDs.</t>
  </si>
  <si>
    <t>ID</t>
  </si>
  <si>
    <t>Yellow cells were filled in from the interviews and questionnaire: Stakeholder Resolution, Evidence Reference, Status and Final Requirement IDs. The whole OI-41 row (dispatch scope) is new.</t>
  </si>
  <si>
    <t>New tabs</t>
  </si>
  <si>
    <t>SR, Conflicts, Draft Requirements, Sources and Questionnaire were all added.</t>
  </si>
  <si>
    <t>Document-Derived Rule / Fact</t>
  </si>
  <si>
    <t>Open Issue</t>
  </si>
  <si>
    <t>Original Initial Requirement</t>
  </si>
  <si>
    <t>Classification</t>
  </si>
  <si>
    <t>Why It Matters</t>
  </si>
  <si>
    <t>Draft Requirements</t>
  </si>
  <si>
    <t>Analysis / Clarification Needed</t>
  </si>
  <si>
    <t>Related Source ID(s)</t>
  </si>
  <si>
    <t>Issue / Ambiguity Identified</t>
  </si>
  <si>
    <t>Stakeholder(s)</t>
  </si>
  <si>
    <t>Blue rows refine one of the 12 initial requirements from the brief (35 requirements; Origin column names the IR).</t>
  </si>
  <si>
    <t>Clarification Needed / Elicitation Focus</t>
  </si>
  <si>
    <t>Source</t>
  </si>
  <si>
    <t>Stakeholder Resolution</t>
  </si>
  <si>
    <t>What Must Be Clarified</t>
  </si>
  <si>
    <t>Evidence Reference</t>
  </si>
  <si>
    <t>Priority</t>
  </si>
  <si>
    <t>Status</t>
  </si>
  <si>
    <t>Resolution</t>
  </si>
  <si>
    <t>Green rows are new requirements not in the initial 12: 16 from the brief's company description and 11 from stakeholder interviews/questionnaire.</t>
  </si>
  <si>
    <t>Related Final Requirement ID(s)</t>
  </si>
  <si>
    <t>BR-DOC-01</t>
  </si>
  <si>
    <t>Issue Type</t>
  </si>
  <si>
    <t>Final Requirement ID(s)</t>
  </si>
  <si>
    <t>Work allocation is assigned weekly every Monday.</t>
  </si>
  <si>
    <t>IR-01</t>
  </si>
  <si>
    <t>The app should be Web-based in a language of your choosing.</t>
  </si>
  <si>
    <t>Business Rule</t>
  </si>
  <si>
    <t>Clarify the exact publication/finalisation time and which service week the allocation covers.</t>
  </si>
  <si>
    <t>OI-01</t>
  </si>
  <si>
    <t>Web-based is clear, but supported devices, browsers, accessibility expectations and deployment environment are unspecified. The programming language is deliberately left to the team.</t>
  </si>
  <si>
    <t>Manager</t>
  </si>
  <si>
    <t>Project Description, p. 1 — company/context narrative</t>
  </si>
  <si>
    <t>Confirm the Web platform constraint; discover supported devices/browsers, accessibility needs and deployment constraints. Avoid asking stakeholders to choose the programming language unless they identify a technical constraint.</t>
  </si>
  <si>
    <t>Availability horizon: one month vs five weeks</t>
  </si>
  <si>
    <t>IT Administrator</t>
  </si>
  <si>
    <t>Confirmed as the working weekly cycle (S5, S6). The exact publication time, and which week a Monday roster covers, were not asked. Team to record an assumption.</t>
  </si>
  <si>
    <t>Project Description, p. 2 — Initial Requirement 1</t>
  </si>
  <si>
    <t>A direct contradiction affects scheduling rules, date controls and manager visibility.</t>
  </si>
  <si>
    <t>IR-09; BR-DOC-16</t>
  </si>
  <si>
    <t>S5 s.2; S6 00:52</t>
  </si>
  <si>
    <t>Web-based and responsive, with the mobile view as important as desktop; programming language left to the team (S3, S2). Browsers, accessibility and uptime still open (OI-30, OI-32).</t>
  </si>
  <si>
    <t>Manager + Staff</t>
  </si>
  <si>
    <t>S3 Q5; S2 Q13</t>
  </si>
  <si>
    <t>Identify the authoritative planning horizon and whether staff entry and manager visibility use the same period.</t>
  </si>
  <si>
    <t>In Progress</t>
  </si>
  <si>
    <t>High</t>
  </si>
  <si>
    <t>BR-06</t>
  </si>
  <si>
    <t>NFR-01, NFR-02, NFR-03, NFR-08</t>
  </si>
  <si>
    <t>BR-DOC-02</t>
  </si>
  <si>
    <t>IR-02</t>
  </si>
  <si>
    <t>Five weeks, used for both staff entry/editing and manager viewing (S5). The IT administrator applies the same five-week window (S3). Staff preferences do not conflict with this: 4 of 5 respondents only want to commit 2-3 weeks ahead (the driver says committing further out risks clashes, S1) and the EMT wants a month or more (S2). A five-week maximum still lets staff submit later, up to the weekly Wednesday cut-off, so no one is forced to commit five weeks out.</t>
  </si>
  <si>
    <t>Workload allocation planning starts every Thursday.</t>
  </si>
  <si>
    <t>The manager should be able to visualise the staff workload immediately on the landing page.</t>
  </si>
  <si>
    <t>S5 s.11; S3 Q3; S2 Q3; S1 Q1; Questionnaire R1-R5 Q1</t>
  </si>
  <si>
    <t>“Workload” is undefined; “immediately” is not measurable; the calculation period and visualisation are unspecified.</t>
  </si>
  <si>
    <t>Confirm which upcoming Monday/week Thursday’s planning applies to and what occurs between planning and publication.</t>
  </si>
  <si>
    <t>Determine what counts as workload, the relevant time period, what the manager needs to see at a glance and a measurable response-time expectation.</t>
  </si>
  <si>
    <t>Confirmed as part of the weekly cycle (S6 describes the pre-publication checks). What happens between Thursday planning and Monday publication is covered by the draft and validation steps (OI-16, SR-02); which week it applies to is not confirmed (see BR-DOC-01).</t>
  </si>
  <si>
    <t>Project Description, p. 2 — Initial Requirement 2</t>
  </si>
  <si>
    <t>S6 00:52-01:22</t>
  </si>
  <si>
    <t>Workload = assigned hours for the roster week (OI-03, OI-04). 'Immediately' still has no measurable response time (OI-31).</t>
  </si>
  <si>
    <t>S4 OI-03/04; S5 s.2; S3 Q8</t>
  </si>
  <si>
    <t>BR-06, FR-19, FR-20</t>
  </si>
  <si>
    <t>BR-DOC-03</t>
  </si>
  <si>
    <t>Resolved</t>
  </si>
  <si>
    <t>FR-31, NFR-03</t>
  </si>
  <si>
    <t>Employees must inform the system of their availability every Wednesday for it to be considered in planning.</t>
  </si>
  <si>
    <t>Conflict</t>
  </si>
  <si>
    <t>Clarify the exact Wednesday cut-off time, time zone and whether it is only the weekly cut-off or the only permitted submission day, and determine when staff may begin entering or editing availability for future weeks.</t>
  </si>
  <si>
    <t>IR-03</t>
  </si>
  <si>
    <t>The manager should be able to allocate jobs to staff for one week at a time.</t>
  </si>
  <si>
    <t>OI-02</t>
  </si>
  <si>
    <t>Wednesday is the weekly cut-off, not the only day staff can submit: entries can be made any time within the five-week window (OI-01), and later ones are flagged as late (OI-13). The exact cut-off time was not asked.</t>
  </si>
  <si>
    <t>“Job” is undefined and may mean a shift, ambulance assignment, service call or another unit of work. Its relationship with the weekly roster is unclear.</t>
  </si>
  <si>
    <t>S6 11:24; S5 s.11</t>
  </si>
  <si>
    <t>Definition of a “job”</t>
  </si>
  <si>
    <t>Define a job, its required information, when weekly assignments become final and whether they can be changed after publication.</t>
  </si>
  <si>
    <t>Assignment, workload, rejection and use cases cannot be specified consistently until the core unit of work is known.</t>
  </si>
  <si>
    <t>IR-03; IR-06; IR-08; IR-10; IR-11</t>
  </si>
  <si>
    <t>BR-06, FR-10</t>
  </si>
  <si>
    <t>Project Description, p. 2 — Initial Requirement 3</t>
  </si>
  <si>
    <t>BR-DOC-04</t>
  </si>
  <si>
    <t>Define what the client means by a ‘job’, what constitutes one job, and what information identifies it</t>
  </si>
  <si>
    <t>Availability submitted after the weekly deadline is handled case-by-case.</t>
  </si>
  <si>
    <t>A job = one staff member in one role on one ambulance for one 12-hour shift. The manager builds a weekly roster slot by slot, can save drafts, and can amend after publication with a logged reason (OI-02, OI-16, OI-24).</t>
  </si>
  <si>
    <t>Identify who decides, what criteria are used and what system workflow or audit trail is required.</t>
  </si>
  <si>
    <t>S4 OI-02; S5 s.1, s.4; S6 01:42</t>
  </si>
  <si>
    <t>One job = one staff member assigned to one role on one ambulance for one 12-hour shift. Calls attended during the shift are not separate jobs, and cleaning/refuelling time does not change the job count. All three managers agree.</t>
  </si>
  <si>
    <t>S4 OI-02; S5 s.1; S6 01:42</t>
  </si>
  <si>
    <t>Manager discretion; late entries recorded and flagged as late; valid reasons outside the staff member's control expected to be accepted (OI-13).</t>
  </si>
  <si>
    <t>FR-13, FR-19, FR-22, BR-03</t>
  </si>
  <si>
    <t>S6 11:24-11:50; S2 Q5</t>
  </si>
  <si>
    <t>Ambiguity</t>
  </si>
  <si>
    <t>IR-04</t>
  </si>
  <si>
    <t>OI-03</t>
  </si>
  <si>
    <t>BR-07, FR-10</t>
  </si>
  <si>
    <t>Meaning and calculation of workload</t>
  </si>
  <si>
    <t>The manager should be able to view up to three staff availability and any relevant information to make the job assignment easier on the job allocation page.</t>
  </si>
  <si>
    <t>BR-DOC-05</t>
  </si>
  <si>
    <t>The term drives several screens, rankings and warnings but has no calculation rule.</t>
  </si>
  <si>
    <t>There are currently 10 ambulances.</t>
  </si>
  <si>
    <t>IR-02; IR-05; IR-06; IR-08</t>
  </si>
  <si>
    <t>The purpose of the three-person limit is unclear; “relevant information” is vague; staff selection is unspecified.</t>
  </si>
  <si>
    <t>Domain Fact / Current Data</t>
  </si>
  <si>
    <t>Identify included work such as allocated/completed shifts, standby, rejected work and overtime, plus calculation method.</t>
  </si>
  <si>
    <t>Treat this as current organisational data rather than a fixed software limit; determine whether fleet size must be configurable.</t>
  </si>
  <si>
    <t>Determine whether this is a three-person comparison view or a hard viewing limit, how staff are selected and what information supports allocation decisions.</t>
  </si>
  <si>
    <t>Manager + IT Administrator</t>
  </si>
  <si>
    <t>Project Description, p. 2 — Initial Requirement 4</t>
  </si>
  <si>
    <t>Workload = total assigned working hours, not number of jobs (e.g. three 12-hour shifts = 36 hours). All three managers agree. The EMT separately wants actual hours including overtime to be visible; logged as SR-04, not part of assigned workload.</t>
  </si>
  <si>
    <t>S4 OI-03; S5 s.2; S6 01:52; S2 Q8; Questionnaire R2 Q9</t>
  </si>
  <si>
    <t>Side-by-side comparison of up to three suitable candidates for the role being filled (OI-06).</t>
  </si>
  <si>
    <t>S6 10:03-10:43; S3 Q3</t>
  </si>
  <si>
    <t>Current organisational data, not a fixed software limit. Managers may add and edit ambulance records. Ambulances leaving active service are deactivated rather than permanently deleted and may later be reactivated. Temporary ambulance unavailability is managed according to OI-40.</t>
  </si>
  <si>
    <t>OI-04</t>
  </si>
  <si>
    <t>Time period used for workload calculation</t>
  </si>
  <si>
    <t>Rankings and the 40-hour indicator may produce different results depending on the period.</t>
  </si>
  <si>
    <t>FR-15</t>
  </si>
  <si>
    <t>IR-02; IR-06; IR-08</t>
  </si>
  <si>
    <t>Define current week, calendar month, rolling period or other windows for each screen. how ties should be handled when determining the top three lowest-workload staff</t>
  </si>
  <si>
    <t>IR-05</t>
  </si>
  <si>
    <t>S3 Q7; S6 13:11</t>
  </si>
  <si>
    <t>When displaying the staff availability, the workload assigned, staff’s job preference, staff’s location at a particular date, and availabilities for the week should be shown.</t>
  </si>
  <si>
    <t>FR-36</t>
  </si>
  <si>
    <t>The meaning, source and granularity of “location” are unclear. Workload period and availability representation are unspecified. Location raises privacy concerns.</t>
  </si>
  <si>
    <t>S6 clarified that if multiple staff members are tied at the cutoff for the three lowest workloads, the system should display all staff tied at that workload value rather than arbitrarily excluding one of them. Monthly workload period issue settled in C4.</t>
  </si>
  <si>
    <t>BR-DOC-06</t>
  </si>
  <si>
    <t>S6 — Administrative Manager, relevant follow-up question</t>
  </si>
  <si>
    <t>Define location, collection method, precision, viewers and retention; define workload period and how weekly availability is represented.</t>
  </si>
  <si>
    <t>Each ambulance consists of one driver, one care assistant and two paramedics.A driver can double as a care assistant.</t>
  </si>
  <si>
    <t>Manager + Staff + IT Administrator</t>
  </si>
  <si>
    <t>Domain / Staffing Rule</t>
  </si>
  <si>
    <t>Project Description, p. 2 — Initial Requirement 5</t>
  </si>
  <si>
    <t>Clarify whether one person may simultaneously fulfil both the driver and care-assistant roles, and therefore whether a valid crew may consist of three or four staff.</t>
  </si>
  <si>
    <t>Manager + Ambulance Staff</t>
  </si>
  <si>
    <t>Show assigned hours for the roster week, preferences (shift type, station), location = assigned/declared station for that date with no GPS, and the candidate's shift availability for the week (OI-07, OI-08, OI-09, OI-37).</t>
  </si>
  <si>
    <t>S2 Q12; S3 Q3; S5 s.14; Questionnaire R1-R5</t>
  </si>
  <si>
    <t>One person can fulfil both roles: a crew of three (driver covering care assistant + two paramedics) is valid (OI-15). How the capability is recorded is conflict C3.</t>
  </si>
  <si>
    <t>S4 OI-15; S5 s.5; S3 Q1; S6 08:37</t>
  </si>
  <si>
    <t>FR-15, FR-38, NFR-06</t>
  </si>
  <si>
    <t>FR-07, FR-16, FR-37</t>
  </si>
  <si>
    <t>IR-06</t>
  </si>
  <si>
    <t>OI-05</t>
  </si>
  <si>
    <t>BR-DOC-07</t>
  </si>
  <si>
    <t>On the manager’s landing page, the top three staff with the lowest workload should be shown, and highlight all staff over 40 hours of jobs allocated.</t>
  </si>
  <si>
    <t>Meaning of the 40-hour threshold</t>
  </si>
  <si>
    <t>The team currently has 17 drivers, 20 care assistants and 36 paramedics.</t>
  </si>
  <si>
    <t>Treating it as a hard maximum without evidence could create an incorrect allocation rule.</t>
  </si>
  <si>
    <t>Workload calculation period is unclear; the effect of exceeding 40 hours is unknown; tie handling is unspecified.</t>
  </si>
  <si>
    <t>Treat these as present staffing figures, not hard-coded system limits; determine how staff totals and roles change. Also check if current members are just initial data, or if there are any configured capacity limits by role</t>
  </si>
  <si>
    <t>Clarify how workload is calculated and over what period; determine whether the 40-hour threshold is informational or an allocation constraint, what action should occur when it is exceeded, and the basis of the 40-hour value (e.g. organisational policy, contractual hours or another workload rule).</t>
  </si>
  <si>
    <t>Determine whether exceeding 40 hours is informational, discouraged, approval-based or prohibited, what action follows, and the basis of the 40-hour threshold (e.g. organisational policy, contractual hours or another workload rule).</t>
  </si>
  <si>
    <t>Project Description, p. 2 — Initial Requirement 6</t>
  </si>
  <si>
    <t>Current data held as user accounts managed by the IT administrator; no role capacity limits were mentioned.</t>
  </si>
  <si>
    <t>S3 Q1</t>
  </si>
  <si>
    <t>Top three = lowest assigned hours in the roster week; staff above 40 hours are highlighted as a warning, not blocked (OI-05). Tie-break rule and monthly definition still to confirm (OI-04).</t>
  </si>
  <si>
    <t>S4 OI-05; S5 s.3; S6 02:21</t>
  </si>
  <si>
    <t>FR-01, NFR-02</t>
  </si>
  <si>
    <t>The 40-hour weekly figure is a warning, not a block: highlight staff above 40 assigned hours in the roster week and warn when an assignment takes someone over it; the manager looks at lower-workload staff first. Basis: the team's standard full-time week (S4), treated as a project-defined threshold with no legal or contractual status (S5, S6). Mandatory rules such as 12-hour rest still apply.</t>
  </si>
  <si>
    <t>BR-DOC-08</t>
  </si>
  <si>
    <t>S4 OI-05; S5 s.3; S6 02:21-03:05</t>
  </si>
  <si>
    <t>FR-21, FR-31, BR-02</t>
  </si>
  <si>
    <t>At least six ambulances should be on service at any time.</t>
  </si>
  <si>
    <t>Operational Rule</t>
  </si>
  <si>
    <t>IR-07</t>
  </si>
  <si>
    <t>Define “at any time,” whether turnaround vehicles count and whether the system blocks, warns or permits an override when coverage is impossible.</t>
  </si>
  <si>
    <t>The manager should have a page that contains information of ambulance utilisation rate, and which ambulance(s) and slot(s) are requiring manpower.</t>
  </si>
  <si>
    <t>OI-06</t>
  </si>
  <si>
    <t>Meaning of “up to three staff”</t>
  </si>
  <si>
    <t>The utilisation formula, reporting period, definition of “slot” and shortage-detection logic are unspecified.</t>
  </si>
  <si>
    <t>See OI-16 / conflict C1. Proposed: drafts allowed; publication blocked below six fully staffed ambulances; post-publication shortfalls flagged and correctable.</t>
  </si>
  <si>
    <t>This may be a comparison feature or an unnecessary restriction on viewing candidates.</t>
  </si>
  <si>
    <t>S4 OI-16; S5 s.6; S6 03:05-04:29</t>
  </si>
  <si>
    <t>Define utilisation, its formula and time period; define a slot, required staffing per slot and how shortages should be identified and handled.</t>
  </si>
  <si>
    <t>Clarify the purpose of three, whether it is a simultaneous comparison limit and how candidates are selected.</t>
  </si>
  <si>
    <t>FR-19, FR-25, BR-09</t>
  </si>
  <si>
    <t>Project Description, p. 2 — Initial Requirement 7</t>
  </si>
  <si>
    <t>Medium</t>
  </si>
  <si>
    <t>BR-DOC-09</t>
  </si>
  <si>
    <t>A side-by-side comparison of up to three suitable candidates for the role being filled, not a limit on viewing staff. Suitable = available for the shift, qualified for the role, not booked elsewhere and meeting the 12-hour rest rule; workload and preference then help the manager choose.</t>
  </si>
  <si>
    <t>Scheduled utilisation per ambulance and fleet-wide (OI-19). Slot = one ambulance per 12-hour shift; shortages shown by missing role per slot (OI-18, OI-20).</t>
  </si>
  <si>
    <t>Each shift is 12 hours long.</t>
  </si>
  <si>
    <t>S4 OI-18/19/20; S5 s.8-s.10; S6 05:25</t>
  </si>
  <si>
    <t>Confirm whether every shift is always 12 hours or whether alternate shift types exist.</t>
  </si>
  <si>
    <t>FR-14, FR-33, BR-04, BR-12</t>
  </si>
  <si>
    <t>OI-07</t>
  </si>
  <si>
    <t>All slots are 12-hour shifts (day or night); no other shift types were mentioned.</t>
  </si>
  <si>
    <t>Meaning and source of staff location</t>
  </si>
  <si>
    <t>S4 OI-18; S5 s.8; S2 Q2</t>
  </si>
  <si>
    <t>IR-08</t>
  </si>
  <si>
    <t>Location could mean an assigned work base, declared location or live physical position, producing very different requirements.</t>
  </si>
  <si>
    <t>Staff should be able to view their weekly job assignments and overall workload for the month on their landing page.</t>
  </si>
  <si>
    <t>BR-04</t>
  </si>
  <si>
    <t>Define the type of location, who enters it, when it applies and the necessary precision.</t>
  </si>
  <si>
    <t>BR-DOC-10</t>
  </si>
  <si>
    <t>“Month” may mean a calendar month or rolling period. Workload calculation and required assignment details are unspecified. It is also unclear how monthly workload should be represented for staff who join, leave, or change role partway through the month.</t>
  </si>
  <si>
    <t>All team members should have at least 12 hours break between shifts.</t>
  </si>
  <si>
    <t>Determine whether violations must be blocked, warned or allowed with an authorised override.</t>
  </si>
  <si>
    <t>Location-at-date = the station/base a staff member is assigned to, or has declared they are willing to be dispatched to, for that date (S2: staff choose preferred stations; S3: date-scoped). Live GPS tracking is out of scope: no respondent chose it (3 chose 'work base only', 2 chose 'none of these'); the driver accepts location visibility during a shift for operational reasons but not outside work hours (S1), and S6 places vehicle tracking outside this system.</t>
  </si>
  <si>
    <t>Define the monthly workload period and calculation, the information shown for each assignment, and how partial-month employment should be handled when displaying or comparing workload.</t>
  </si>
  <si>
    <t>S2 Q12; S1 Q4; S3 Q3; S6 17:40; Questionnaire R1-R5 Q4</t>
  </si>
  <si>
    <t>See OI-17 / conflict C2. Proposed: hard block, including replacements, no override.</t>
  </si>
  <si>
    <t>Staff + Manager</t>
  </si>
  <si>
    <t>S4 OI-17; S5 s.7; S6 04:29-05:25</t>
  </si>
  <si>
    <t>Project Description, p. 2 — Initial Requirement 8</t>
  </si>
  <si>
    <t>FR-18, BR-10</t>
  </si>
  <si>
    <t>BR-DOC-11</t>
  </si>
  <si>
    <t>Cleaning an ambulance between service takes up to 15 minutes.</t>
  </si>
  <si>
    <t>Staff landing page shows own weekly assignments with full details (OI-23) and own assigned hours for the month, proposed as calendar month (OI-04). Partial-month handling still open (OI-36).</t>
  </si>
  <si>
    <t>Domain Rule</t>
  </si>
  <si>
    <t>S2 Q7, Q8, Q13</t>
  </si>
  <si>
    <t>Clarify how this relates to the separate one-hour service, cleaning and refuelling turnaround statement.</t>
  </si>
  <si>
    <t>OI-08</t>
  </si>
  <si>
    <t>Privacy of location and availability information</t>
  </si>
  <si>
    <t>These data may be sensitive and exact access boundaries are not stated.</t>
  </si>
  <si>
    <t>The 15 minutes is per-call cleaning within a shift. A roster system has no call data, so it is not modelled (S6); it already sits inside the 11-hour in-service maximum.</t>
  </si>
  <si>
    <t>S6 06:00-06:23; S4 OI-19</t>
  </si>
  <si>
    <t>IR-05; OI-07</t>
  </si>
  <si>
    <t>FR-34, FR-35</t>
  </si>
  <si>
    <t>Staff + IT Administrator</t>
  </si>
  <si>
    <t>BR-12</t>
  </si>
  <si>
    <t>Determine who needs access to location/availability information and what organisational or privacy constraints apply to its use and retention.</t>
  </si>
  <si>
    <t>BR-DOC-12</t>
  </si>
  <si>
    <t>IR-09</t>
  </si>
  <si>
    <t>Ambulances take about one hour to service, clean and refuel between shifts.</t>
  </si>
  <si>
    <t>Staff can add and edit their availabilities up to 5 weeks ahead of time.</t>
  </si>
  <si>
    <t>“About one hour” is not precise enough for a strict rule; determine the value used for planning and utilisation.</t>
  </si>
  <si>
    <t>Location and availability are visible only to managers, and only for the dates being planned (up to five weeks), not as a browsable history. Staff see only their own data. IT administrators get no routine access to operational data, and any access outside normal scope is logged (S3). Two of five respondents chose 'none of these' for location sharing, which supports keeping visibility narrow. Retention period tracked under OI-29.</t>
  </si>
  <si>
    <t>This conflicts with the narrative’s one-month horizon. Edit cut-offs and behaviour after the Wednesday deadline or after assignment are unclear.</t>
  </si>
  <si>
    <t>S3 Q3; S2 Q12; Questionnaire R1-R5 Q4</t>
  </si>
  <si>
    <t>Use one hour between shifts as the planning value; it produces the 11-of-12-hour in-service maximum S4 uses for utilisation.</t>
  </si>
  <si>
    <t>S4 OI-19</t>
  </si>
  <si>
    <t>Resolve one month versus five weeks; define submission/edit windows, late-change handling and restrictions after roster publication.</t>
  </si>
  <si>
    <t>Missing requirement / discovery</t>
  </si>
  <si>
    <t>FR-33</t>
  </si>
  <si>
    <t>OI-09</t>
  </si>
  <si>
    <t>BR-DOC-13</t>
  </si>
  <si>
    <t>Project Description, p. 2 — Initial Requirement 9</t>
  </si>
  <si>
    <t>Definition of job preference</t>
  </si>
  <si>
    <t>An ambulance can be in service at most 11 hours during a 12-hour shift.</t>
  </si>
  <si>
    <t>The system cannot capture preferences without knowing their subject and format.</t>
  </si>
  <si>
    <t>Confirm whether this is a fixed planning constraint and how it feeds the utilisation calculation.</t>
  </si>
  <si>
    <t>IR-10</t>
  </si>
  <si>
    <t>Five weeks for staff entry and manager viewing; entered by 12-hour shift; edits after publication allowed but do not change assignments; late entries flagged (OI-01, OI-13, OI-14, OI-37).</t>
  </si>
  <si>
    <t>S5 s.11, s.14; S6 11:24-12:18; Questionnaire R1-R5 Q1-Q3</t>
  </si>
  <si>
    <t>A fixed planning constraint: 11 hours in service per 12-hour shift is the ceiling used in scheduled utilisation (OI-19).</t>
  </si>
  <si>
    <t>Determine whether preferences concern shift, timing, role, ambulance, location or another factor and whether ranking is needed.</t>
  </si>
  <si>
    <t>S4 OI-19; S6 05:35</t>
  </si>
  <si>
    <t>FR-33, BR-12</t>
  </si>
  <si>
    <t>BR-DOC-14</t>
  </si>
  <si>
    <t>Staff who are not on duty are on standby to replace staff on sick leave.</t>
  </si>
  <si>
    <t>Preferences cover preferred shift type (day/night), chosen by all 5 respondents, and preferred station/area (S2 picks stations near home or school; the driver wants to avoid high-traffic areas, S1). Less common choices: type of job (2), specific colleagues (1), which ambulance (1). Ranking was not raised. Roles are fixed in practice, so role is not a preference (S2).</t>
  </si>
  <si>
    <t>FR-09, FR-10, FR-11, BR-05</t>
  </si>
  <si>
    <t>S2 Q6, Q12; S1 Q5; Questionnaire R1-R5 Q5</t>
  </si>
  <si>
    <t>Define standby eligibility, activation, notification, availability and whether standby time contributes to workload.</t>
  </si>
  <si>
    <t>Off-duty staff are standby candidates; must be qualified and rested; unactivated standby counts as rest; the vacancy is filled only after the replacement confirms (OI-21, OI-22).</t>
  </si>
  <si>
    <t>S5 s.13; S6 15:19-15:58; S2 Q10</t>
  </si>
  <si>
    <t>Staff can indicate their job preference for the week.</t>
  </si>
  <si>
    <t>FR-28, FR-29, FR-30, BR-11</t>
  </si>
  <si>
    <t>The type, number and ranking of preferences are unspecified. It is unknown whether preferences are optional, advisory or binding.</t>
  </si>
  <si>
    <t>BR-DOC-15</t>
  </si>
  <si>
    <t>Employees should be able to indicate assigned jobs that they cannot fulfil ahead of time.</t>
  </si>
  <si>
    <t>Business Process</t>
  </si>
  <si>
    <t>Determine what staff may prefer, how preferences are expressed and how managers should use them during allocation.</t>
  </si>
  <si>
    <t>Define “ahead of time” and the complete exception, discussion and reassignment workflow.</t>
  </si>
  <si>
    <t>Through the rejection function, with no automatic cut-off; staff should report as early as possible (OI-11, OI-12).</t>
  </si>
  <si>
    <t>Project Description, p. 2 — Initial Requirement 10</t>
  </si>
  <si>
    <t>S5 s.12</t>
  </si>
  <si>
    <t>Preferred shift type and preferred station/area; advisory only (OI-09, OI-10).</t>
  </si>
  <si>
    <t>OI-10</t>
  </si>
  <si>
    <t>FR-26, FR-27</t>
  </si>
  <si>
    <t>S2 Q6, Q12; S6 10:48; Questionnaire R1-R5 Q5</t>
  </si>
  <si>
    <t>How job preferences affect allocation</t>
  </si>
  <si>
    <t>BR-DOC-16</t>
  </si>
  <si>
    <t>Administrative staff should be able to view manpower availability up to one month earlier.</t>
  </si>
  <si>
    <t>A preference could be advisory or mandatory, which changes allocation validation.</t>
  </si>
  <si>
    <t>Planning Rule</t>
  </si>
  <si>
    <t>IR-10; OI-09</t>
  </si>
  <si>
    <t>Resolve the one-month horizon against IR-09’s five-week availability horizon and define whether the periods must match.</t>
  </si>
  <si>
    <t>FR-12, BR-08</t>
  </si>
  <si>
    <t>Clarify whether managers must honour preferences, merely consider them or record why they are not followed.</t>
  </si>
  <si>
    <t>Five weeks, the same period for staff entry and manager viewing (OI-01).</t>
  </si>
  <si>
    <t>S5 s.11; S3 Q3</t>
  </si>
  <si>
    <t>IR-11</t>
  </si>
  <si>
    <t>BR-05</t>
  </si>
  <si>
    <t>Preferences are advisory. They are shown when the manager compares candidates but never override coverage, qualification, availability or rest rules, and a mismatch does not block an assignment (S6). The system may use them when suggesting candidates (S4).</t>
  </si>
  <si>
    <t>Staff can reject jobs assigned to them, but they will be warned to discuss the jobs with their manager before proceeding with the rejection.</t>
  </si>
  <si>
    <t>BR-DOC-17</t>
  </si>
  <si>
    <t>S6 10:48-11:24; S4 OI-20</t>
  </si>
  <si>
    <t>The process after rejection is missing, including reason, timing, manager notification, approval, status and replacement.</t>
  </si>
  <si>
    <t>The project uses ambulance-service roles referenced in the project description.</t>
  </si>
  <si>
    <t>Elicit the full workflow from inability to fulfil through resolution, including deadlines, reasons, notifications, approval and reassignment.</t>
  </si>
  <si>
    <t>OI-11</t>
  </si>
  <si>
    <t>Job rejection workflow</t>
  </si>
  <si>
    <t>IR-11 stops after the warning, leaving the assignment unresolved.</t>
  </si>
  <si>
    <t>Project Description, p. 2 — Initial Requirement 11</t>
  </si>
  <si>
    <t>IR-11; BR-DOC-15</t>
  </si>
  <si>
    <t>Warning to discuss first, reason required, manager notified, role becomes unassigned, no cut-off (OI-11, OI-12).</t>
  </si>
  <si>
    <t>Map the complete process: reason, warning, discussion, submission, notification, decision, status and replacement.</t>
  </si>
  <si>
    <t>S5 s.12; Questionnaire R1-R5 Q6</t>
  </si>
  <si>
    <t>Domain Reference</t>
  </si>
  <si>
    <t>Do not infer additional qualifications, permissions or duties from the external role reference unless stakeholders explicitly adopt them.</t>
  </si>
  <si>
    <t>Staff discuss with the manager first, then submit a rejection with a reason. Submission notifies the manager; there is no second approval step in the system. The staff member is removed from the slot, the role becomes unassigned and needs a replacement, and other crew assignments stay unchanged (S5). The driver likewise expects to discuss with the manager first (S1). The change is recorded with the reason 'staff rejection' (S6). The EMT's real-world practice of arranging cover with a colleague first is logged separately as SR-06.</t>
  </si>
  <si>
    <t>S5 s.12; S6 13:26-14:36; S2 Q9; S1 Q6</t>
  </si>
  <si>
    <t>The system uses only the three roles in the brief (driver, care assistant, paramedic); no further qualifications or duties are inferred. The EMT representative is mapped to the paramedic slot. Dispatch roles are out of scope (OI-41).</t>
  </si>
  <si>
    <t>Incomplete workflow / behaviour</t>
  </si>
  <si>
    <t>OI-12</t>
  </si>
  <si>
    <t>Deadline for rejecting an assignment</t>
  </si>
  <si>
    <t>“Ahead of time” is not measurable and affects replacement feasibility.</t>
  </si>
  <si>
    <t>IR-12</t>
  </si>
  <si>
    <t>S3 Q1; S2 Q1; S6 17:40</t>
  </si>
  <si>
    <t>Set the normal rejection window and define emergency/late exceptions.</t>
  </si>
  <si>
    <t>No automatic cut-off. Staff should reject as early as possible, and last-minute cases such as sudden illness must still be reportable (S5). Staff expect to give 1-3 days' notice (3 respondents: 1 day; 2 respondents: 2-3 days); the driver makes an exception for sudden illness (S1).</t>
  </si>
  <si>
    <t>FR-07, BR-13</t>
  </si>
  <si>
    <t>S5 s.12; S2 Q9; S1 Q6; Questionnaire R1-R5 Q6</t>
  </si>
  <si>
    <t>OI-13</t>
  </si>
  <si>
    <t>BR-DOC-18</t>
  </si>
  <si>
    <t>Late availability workflow</t>
  </si>
  <si>
    <t>“Case-by-case” gives no actor, criteria, status or system behaviour.</t>
  </si>
  <si>
    <t>The company’s IT administrators will oversee adding new staff and managers to the system.</t>
  </si>
  <si>
    <t>BR-DOC-03; BR-DOC-04</t>
  </si>
  <si>
    <t>Staff job preferences are advisory. Managers may consider them during roster allocation, but preferences shall not override mandatory constraints such as staff availability, role qualification, rest requirements, or minimum staffing coverage. A mismatch with a staff member's preference shall not prevent an otherwise valid assignment.</t>
  </si>
  <si>
    <t>Business / Allocation Rule</t>
  </si>
  <si>
    <t>Define request submission, decision owner, criteria, notification, roster impact and audit requirements.</t>
  </si>
  <si>
    <t>Only creation is covered. Editing, deactivation, deletion, role changes, recovery and permission management are unspecified.</t>
  </si>
  <si>
    <t>Determine whether staff preferences are mandatory or advisory and whether a preference mismatch may block an assignment.</t>
  </si>
  <si>
    <t>IR-10; OI-10</t>
  </si>
  <si>
    <t>Elicit the complete account lifecycle, required profile data, role/permission handling and recovery responsibilities.</t>
  </si>
  <si>
    <t>Late availability is still recorded but flagged as late, so the manager knows it was not part of the original planning data; whether it is used depends on how far planning has progressed (S6). 'Case-by-case' = manager discretion, expected to favour valid reasons outside the staff member's control over negligence (S2). The driver was unsure and expected the manager to follow up (S1).</t>
  </si>
  <si>
    <t>Preferences are advisory. They may be considered during candidate comparison but do not override coverage, qualification, availability or rest constraints, and a mismatch does not block assignment.</t>
  </si>
  <si>
    <t>S6 11:24-11:50; S2 Q5; S1 Q3</t>
  </si>
  <si>
    <t>Project Description, p. 2 — Initial Requirement 12</t>
  </si>
  <si>
    <t>S6 10:48–11:24; S4 OI-20</t>
  </si>
  <si>
    <t>FR-05, FR-07</t>
  </si>
  <si>
    <t>OI-14</t>
  </si>
  <si>
    <t>Editing availability after roster publication</t>
  </si>
  <si>
    <t>Full lifecycle through IT admin: create, edit identity fields, role change with manager sign-off, suspend, deactivate (never delete), assisted recovery (OI-25, OI-26, OI-27).</t>
  </si>
  <si>
    <t>Uncontrolled changes could conflict with already allocated jobs.</t>
  </si>
  <si>
    <t>IR-09; BR-DOC-01; BR-DOC-03</t>
  </si>
  <si>
    <t>S3 Q1-Q3</t>
  </si>
  <si>
    <t>Clarify whether editing remains possible, whether changes become requests and what happens to existing assignments.</t>
  </si>
  <si>
    <t>Staff can edit availability after publication (all 5 respondents want this; S2 suggests a 4-5 day grace period). An edit never changes a published assignment by itself: the manager is alerted and decides whether to keep the assignment, handle a rejection or arrange a replacement (S6).</t>
  </si>
  <si>
    <t>S6 11:50-12:18; Questionnaire R1-R5 Q3; S2 questionnaire notes</t>
  </si>
  <si>
    <t>FR-01, FR-02, FR-03, FR-04, FR-05, FR-06, FR-39</t>
  </si>
  <si>
    <t>OI-15</t>
  </si>
  <si>
    <t>Driver doubling as care assistant</t>
  </si>
  <si>
    <t>The interpretation changes minimum crew size and all staffing validation.</t>
  </si>
  <si>
    <t>Confirm whether the driver fulfils the care-assistant position or only has additional capabilities.</t>
  </si>
  <si>
    <t>A crew of three (one driver covering the care-assistant role plus two paramedics) is valid; two paramedics are always required; the standard crew is four (S4, S5). How the driver's care-assistant capability is recorded is disputed (conflict C3): S3 would infer it for every driver, S6 wants it recorded per driver. The driver says covering two roles cuts into breaks while the system would still treat it as one shift (S1). Staff rate the effect of covering a second role on their breaks at 4.0/5 on average, which supports recording the role covered on each shift (SR-05).</t>
  </si>
  <si>
    <t>S4 OI-15; S5 s.5; S3 Q1, Q3; S6 08:37-09:49; S1 Q10; Questionnaire R1-R5 Q8</t>
  </si>
  <si>
    <t>Domain rule clarification</t>
  </si>
  <si>
    <t>OI-16</t>
  </si>
  <si>
    <t>Enforcement of minimum six-ambulance coverage</t>
  </si>
  <si>
    <t>The system response when staffing is insufficient is unspecified.</t>
  </si>
  <si>
    <t>Determine what the system should do if fewer than six ambulances can be staffed, whether exceptions are permitted, and, if so, how they are authorised.</t>
  </si>
  <si>
    <t>Conflict C1. S4: warn and allow publishing below six ambulances after an acknowledged override. S5 and S6: an incomplete roster can be saved as a draft, but publication is blocked until at least six ambulances are fully staffed; after publication, a shortfall (e.g. sickness) is flagged and the manager can make corrective changes. Proposed: S5/S6 position (2 of 3 managers; it still covers S4's emergency case through the post-publication path). Team to confirm.</t>
  </si>
  <si>
    <t>OI-17</t>
  </si>
  <si>
    <t>Enforcement of the 12-hour rest rule</t>
  </si>
  <si>
    <t>The rule may be advisory or mandatory, with different scheduling behaviour.</t>
  </si>
  <si>
    <t>Define validation, warning, override authority and how rest is calculated across week boundaries.</t>
  </si>
  <si>
    <t>Conflict C2. S4: warn, with an override when someone volunteers. S5 and S6: block any assignment that leaves less than 12 hours of rest, including replacements, with no ordinary override (S6: revisit only if a formal exception policy with a named approver exists). Proposed: hard block (2 of 3 managers). Team to confirm.</t>
  </si>
  <si>
    <t>OI-18</t>
  </si>
  <si>
    <t>Definition of an ambulance “slot”</t>
  </si>
  <si>
    <t>IR-07 cannot become a verifiable requirement while its central term is undefined.</t>
  </si>
  <si>
    <t>IR-07; BR-DOC-09</t>
  </si>
  <si>
    <t>Define slot duration, clarify whether slot corrosponds to stated 12 hr shift, relationship to shifts/crew positions and information displayed for a slot.</t>
  </si>
  <si>
    <t>A slot = one ambulance for one 12-hour shift (e.g. Ambulance 3, Monday day shift). For each slot, show the ambulance, date, shift time, assigned staff and the roles they cover, and any missing roles with the number still needed. Shift start times were not confirmed (S4's example uses 7 AM-7 PM; S2's real service runs 9 AM / 9 PM).</t>
  </si>
  <si>
    <t>OI-19</t>
  </si>
  <si>
    <t>Ambulance utilisation calculation</t>
  </si>
  <si>
    <t>A required output has no formula or reporting window.</t>
  </si>
  <si>
    <t>IR-07; BR-DOC-11; BR-DOC-12; BR-DOC-13</t>
  </si>
  <si>
    <t>Identify the operational meaning, numerator, denominator, turnaround treatment and reporting period. Explicitly ask how the 15-minute cleaning period, approximately one-hour service/clean/refuel turnaround, and 11-hour service maximum relate to each other and to utilisation.</t>
  </si>
  <si>
    <t>Scheduled utilisation, calculated from roster data. Per ambulance, per day and per week: scheduled in-service hours (at most 11 per rostered 12-hour shift) divided by total shift hours in the period, e.g. about 91% for one full shift (S4). Fleet-wide: ambulances rostered in a shift divided by fleet size, e.g. 6 of 10 = 60% (S4). Also show which shifts each ambulance is allocated to (S5). Actual call-time utilisation needs dispatch data the system does not have and is out of scope (S5, S6). This reconciles all three managers (conflict C6).</t>
  </si>
  <si>
    <t>S4 OI-19; S5 s.9; S6 05:25-06:53</t>
  </si>
  <si>
    <t>OI-20</t>
  </si>
  <si>
    <t>How a manpower shortage is determined</t>
  </si>
  <si>
    <t>The page must identify shortages, but required roles and calculation logic are incomplete.</t>
  </si>
  <si>
    <t>IR-07; BR-DOC-06; BR-DOC-08</t>
  </si>
  <si>
    <t>Define staffing requirements per slot, shortage conditions, role-specific deficits and desired alerts/actions.</t>
  </si>
  <si>
    <t>By required role within each ambulance slot, not total headcount, e.g. 'Ambulance 4, Monday day shift: one paramedic required'. The system highlights the affected slot and suggests suitable candidates based on availability and preferences (S4); the manager makes the assignment.</t>
  </si>
  <si>
    <t>S4 OI-20; S5 s.10</t>
  </si>
  <si>
    <t>Incomplete requirement</t>
  </si>
  <si>
    <t>OI-21</t>
  </si>
  <si>
    <t>Standby workflow</t>
  </si>
  <si>
    <t>The brief states standby exists but not how it is scheduled or activated.</t>
  </si>
  <si>
    <t>Define eligibility, assignment, acknowledgement, activation, cancellation, visibility and workload impact. clarify whether staff who are supposed to be resting can actually be called in and whether standby itself counts as work/rest.</t>
  </si>
  <si>
    <t>Standby = off-duty staff. A candidate must be qualified for the missing role and have at least 12 hours' rest before starting. Standby without working adds no workload hours and counts as rest; hours worked after activation count towards workload (S5). In practice, standby staff are those who declared availability but were not rostered, and they are messaged to ask if they can work (S2). Staff comfort with being called in during standby/rest averages 2.6/5, and the driver asks that call-ins be spread fairly rather than always going to the same people (S1; SR-10).</t>
  </si>
  <si>
    <t>S5 s.13; S2 Q10; S1 Q7; Questionnaire R1-R5 Q7</t>
  </si>
  <si>
    <t>OI-22</t>
  </si>
  <si>
    <t>Sick-leave replacement process</t>
  </si>
  <si>
    <t>Standby replacement is mentioned without a system-supported workflow.</t>
  </si>
  <si>
    <t>Map sickness reporting through replacement selection, notification, acceptance and roster update.</t>
  </si>
  <si>
    <t>The manager identifies the affected slot and role, reviews suitable standby candidates shown by the system and contacts one. The vacancy is filled only once that person confirms and the roster is updated; a notification alone does not fill it, and if they decline the manager picks someone else (S5, S6). Staff report sickness through the rejection function (OI-11, OI-12).</t>
  </si>
  <si>
    <t>S5 s.13; S6 15:19-15:58</t>
  </si>
  <si>
    <t>OI-23</t>
  </si>
  <si>
    <t>Details shown for each staff assignment</t>
  </si>
  <si>
    <t>Staff can view assignments but the information needed to act is not listed.</t>
  </si>
  <si>
    <t>Identify required date, time, duration, ambulance, crew/role, location, status and contact information.</t>
  </si>
  <si>
    <t>Each assignment shows date, day/night shift and times, ambulance, station (staff may float between stations), role, and crew members, including incoming/outgoing crew for handover (S2). The driver lists time, location, ambulance number and crew (S1).</t>
  </si>
  <si>
    <t>S2 Q7; S1 Q9</t>
  </si>
  <si>
    <t>OI-24</t>
  </si>
  <si>
    <t>Manager ability to modify or reassign work</t>
  </si>
  <si>
    <t>The brief covers allocation but not changes after allocation or publication.</t>
  </si>
  <si>
    <t>IR-03; IR-11; BR-DOC-01; BR-DOC-02</t>
  </si>
  <si>
    <t>Define edit/reassignment windows, notifications, history and effects on rejected or unavailable staff. Clarify roster lifecycle as well, when a roster becomes final/visible and when managers may still edit it</t>
  </si>
  <si>
    <t>Managers can modify or reassign after publication (sickness, rejection, ambulance unavailable). Every change keeps the original and new assignment, who made it, when, and a mandatory reason from a short list (sickness / staff rejection / ambulance unavailable / other + short text). Removed and newly assigned staff are notified; no silent changes; the whole team is not notified (S4, S5, S6).</t>
  </si>
  <si>
    <t>S4 OI-24; S5 s.4; S6 13:03-15:19</t>
  </si>
  <si>
    <r>
      <rPr>
        <rFont val="Arial"/>
        <b/>
        <color theme="1"/>
        <sz val="11.0"/>
      </rPr>
      <t xml:space="preserve">OI-25 </t>
    </r>
    <r>
      <rPr>
        <rFont val="Arial"/>
        <b/>
        <color rgb="FFFF0000"/>
        <sz val="11.0"/>
      </rPr>
      <t>(MIGHT NOT GO INTO DETAIL FOR ACCOUNT MANAGEMENT)</t>
    </r>
  </si>
  <si>
    <t>User account lifecycle</t>
  </si>
  <si>
    <t>IR-12 covers adding users only, leaving routine administration unspecified.</t>
  </si>
  <si>
    <t>IR-12; BR-DOC-07</t>
  </si>
  <si>
    <t>Define create, edit, role change, suspend, deactivate, delete/archive and leaver processes.</t>
  </si>
  <si>
    <t>Create: IT admin creates the account on HR notice with name, staff ID, role(s), contact details, start date, and a temporary password changed at first login. Edit: staff self-edit contact details, availability and preferences; identity fields (name, ID, role) only through IT admin. Role change: manager sign-off, then IT executes; history carries over. Suspend: login blocked, records kept, excluded from assignment. Leaver: deactivate, never delete; login disabled, removed from assignment pools, records kept.</t>
  </si>
  <si>
    <t>OI-26</t>
  </si>
  <si>
    <t>Authentication method</t>
  </si>
  <si>
    <t>No login, identity or recovery mechanism is specified.</t>
  </si>
  <si>
    <t>IR-01; IR-12</t>
  </si>
  <si>
    <t>Stakeholder-Raised Items Register (SR)</t>
  </si>
  <si>
    <t>Identify the organisation’s authentication method, session expectations and password/account recovery process.</t>
  </si>
  <si>
    <t>Staff: email + password. Managers and IT administrators: MFA. Forgotten credentials: IT-admin-assisted reset after identity verification (staff ID check, possibly manager confirmation). Session timeout was not discussed.</t>
  </si>
  <si>
    <t>S3 Q2</t>
  </si>
  <si>
    <t>OI-27</t>
  </si>
  <si>
    <t>Role permissions</t>
  </si>
  <si>
    <t>Manager, Staff and IT Administrator boundaries are incomplete.</t>
  </si>
  <si>
    <t>IR-02–IR-12; BR--DOC-17</t>
  </si>
  <si>
    <t>IT Administrator + Manager</t>
  </si>
  <si>
    <t>Create a role-permission matrix covering viewing, creating, editing, overriding and administering data. determine whether staff can hold multiple roles/qualifications.</t>
  </si>
  <si>
    <t>Staff: view/edit own availability, preferences and contact details; view own assignments and workload; reject own assignments; cannot see other staff's schedules, workload or location, or change the roster. Managers: view team availability, workload, preferences and location-at-date; create and modify rosters; assign/reassign; handle shortages, rejections and replacements; view utilisation; cannot edit identity fields or create accounts. IT administrators: manage accounts, roles, credentials and permission tiers; no routine access to operational data. One account per person, holding one or more qualifications.</t>
  </si>
  <si>
    <t>S3 Q3; S5 s.15</t>
  </si>
  <si>
    <t>OI-28</t>
  </si>
  <si>
    <t>Notification requirements</t>
  </si>
  <si>
    <t>Requirements or constraints raised by stakeholders that are not in the brief's initial requirements or the original open-issues list. Each item records who raised it and how it is handled.</t>
  </si>
  <si>
    <t>Users may otherwise miss published, changed, rejected or emergency assignments.</t>
  </si>
  <si>
    <t>IR-09; IR-11; BR-DOC-14</t>
  </si>
  <si>
    <t>Identify events requiring notification, channel, timing, acknowledgement and escalation needs.</t>
  </si>
  <si>
    <t>Confirmed events: assignment removed/added after publication, to affected staff (S4, S5, S6); rejection submitted, to manager (S5); standby contact and confirmation for replacements (S5). Only affected people are notified (S6). Not yet decided: delivery channel (in-app, email, SMS) and timing. S2 prefers a phone app.</t>
  </si>
  <si>
    <t>S4 OI-24; S5 s.4, s.12, s.13; S6 14:36-15:19; S2 Q13</t>
  </si>
  <si>
    <t>OI-29</t>
  </si>
  <si>
    <t>Stakeholder-Raised Item</t>
  </si>
  <si>
    <t>Audit and history requirements</t>
  </si>
  <si>
    <t>Roster, availability and account changes may need traceability for operational accountability.</t>
  </si>
  <si>
    <t>IR-03; IR-09; IR-11; IR-12</t>
  </si>
  <si>
    <t>Raised By</t>
  </si>
  <si>
    <t>Determine which changes must be recorded, visible to whom and retained for how long.</t>
  </si>
  <si>
    <t>Related ID(s)</t>
  </si>
  <si>
    <t>What to log is agreed: account creation and identity edits; role changes (old/new role, approver, executor, time); suspensions, reactivations, deactivations; password resets; failed logins/lockouts; permission changes; every assignment, rejection (with reason), reassignment and cancellation; availability submissions and edits with timestamps (S3); roster amendments with previous value, new value, user, time and reason (S6). Retention not confirmed: S3 proposes security logs 1-2 years and availability about 1 year, with roster history pending hospital compliance; S6 defers to IT. Proposed: adopt S3's figures as a documented project assumption.</t>
  </si>
  <si>
    <t>S3 Q4; S6 16:04-16:37</t>
  </si>
  <si>
    <t>Proposed Handling</t>
  </si>
  <si>
    <t>OI-30</t>
  </si>
  <si>
    <t>Browser and device requirements</t>
  </si>
  <si>
    <t>“Web-based” does not identify the environments that must be supported.</t>
  </si>
  <si>
    <t>SR-01</t>
  </si>
  <si>
    <t>Identify common devices, browsers, screen sizes and any mobile or accessibility constraints.</t>
  </si>
  <si>
    <t>Web-based (IR-01), with the mobile view as important as desktop because staff mostly use phones (S3). S2 would use it on a phone and prefers an app; a responsive web app meets this within the web-based constraint. Browsers and any accessibility standard were not specified.</t>
  </si>
  <si>
    <t>Record the role(s) each staff member is qualified to perform, and prevent assignment to a role they are not recorded as qualified for.</t>
  </si>
  <si>
    <t>NFR discovery</t>
  </si>
  <si>
    <t>S6; supported by S3 (one account, multiple qualifications)</t>
  </si>
  <si>
    <t>OI-31</t>
  </si>
  <si>
    <t>S6 08:37-09:49; S3 Q3</t>
  </si>
  <si>
    <t>Measurable performance expectations</t>
  </si>
  <si>
    <t>“Immediately” cannot be verified in testing.</t>
  </si>
  <si>
    <t>OI-15, OI-27, BR-DOC-06</t>
  </si>
  <si>
    <t>Adopt. Default drivers to care-assistant-qualified on account creation (brief, S3), editable by the IT administrator (S6). See conflict C3.</t>
  </si>
  <si>
    <t>Define acceptable landing-page and allocation-page response times under expected load. determin expected number of users/concurrent users so a response-time target has context.</t>
  </si>
  <si>
    <t>Load: at least twice the total number of staff as concurrent users (S3), i.e. at least 146 for the current 73 staff. Missing: a response-time target for the landing and allocation pages. No stakeholder gave one, so 'immediately' (IR-02) cannot yet become a measurable NFR.</t>
  </si>
  <si>
    <t>S3 Q8</t>
  </si>
  <si>
    <t>NFR clarification</t>
  </si>
  <si>
    <t>OI-32</t>
  </si>
  <si>
    <t>Availability and reliability expectations</t>
  </si>
  <si>
    <t>The system appears operationally important, but no uptime or maintenance expectation exists.</t>
  </si>
  <si>
    <t>IR-01, S3 availability follow-up, NFR-09</t>
  </si>
  <si>
    <t>Determine operating hours, acceptable downtime, planned maintenance and recovery expectations.</t>
  </si>
  <si>
    <t>S3 clarified that the system should be accessible 24 hours per day because staff may need to review assignments or update information outside normal office hours. Planned maintenance is treated separately. Unplanned downtime shall not exceed four hours per calendar month.</t>
  </si>
  <si>
    <t>None</t>
  </si>
  <si>
    <t>Open</t>
  </si>
  <si>
    <t>OI-33</t>
  </si>
  <si>
    <t>Security and privacy requirements</t>
  </si>
  <si>
    <t>The system holds schedules, availability, roles and potentially location data.</t>
  </si>
  <si>
    <t>IR-05; IR-12; OI-08; OI-27</t>
  </si>
  <si>
    <t>Identify access-control, logging, security policies, privacy, retention and organisational compliance requirements.</t>
  </si>
  <si>
    <t>FR-07, FR-08</t>
  </si>
  <si>
    <t>Least-privilege role scopes, MFA for managers and IT administrators, location visible only to managers within the planning window, IT access to operational data logged, and deactivation instead of deletion (S3). Retention and compliance tracked under OI-29.</t>
  </si>
  <si>
    <t>S3 Q2-Q4</t>
  </si>
  <si>
    <t>SR-02</t>
  </si>
  <si>
    <t>OI-34</t>
  </si>
  <si>
    <t>Backup and recovery expectations</t>
  </si>
  <si>
    <t>Loss of roster or availability data could disrupt operations, but recovery requirements are absent.</t>
  </si>
  <si>
    <t>Pre-publication validation summary listing blocking issues and advisory warnings, each linked to the affected slot.</t>
  </si>
  <si>
    <t>S6</t>
  </si>
  <si>
    <t>Define backup frequency, restoration responsibilities and acceptable data-loss/recovery windows.</t>
  </si>
  <si>
    <t>S6 07:01-08:28</t>
  </si>
  <si>
    <t>OI-16, OI-17, OI-38</t>
  </si>
  <si>
    <t>Adopt.</t>
  </si>
  <si>
    <t>Not elicited (same gap as OI-32). Backup frequency, restore responsibility and acceptable data loss were not discussed. Needs the same follow-up.</t>
  </si>
  <si>
    <t>FR-20</t>
  </si>
  <si>
    <t>SR-03</t>
  </si>
  <si>
    <t>OI-35</t>
  </si>
  <si>
    <t>Mandatory reason for every post-publication amendment, from a short list (sickness / staff rejection / ambulance unavailable / other + short text).</t>
  </si>
  <si>
    <t>S6 13:44-14:36</t>
  </si>
  <si>
    <t>Integration with existing systems</t>
  </si>
  <si>
    <t>OI-24, OI-29</t>
  </si>
  <si>
    <t>Assuming integration—or assuming none—could materially alter project scope.</t>
  </si>
  <si>
    <t>FR-22, FR-23</t>
  </si>
  <si>
    <t>Determine whether identity, HR, payroll, rostering, email/SMS or other existing systems must exchange data.</t>
  </si>
  <si>
    <t>SR-04</t>
  </si>
  <si>
    <t>Record actual clock-in/clock-out times so staff can see overtime and exact hours worked.</t>
  </si>
  <si>
    <t>S2</t>
  </si>
  <si>
    <t>S2 Q8; Questionnaire R2 Q9</t>
  </si>
  <si>
    <t>OI-03, IR-08</t>
  </si>
  <si>
    <t>No live integration required. Staff details should match existing HR/payroll records (e.g. the same staff ID), but the system is a separate entity (S3). Dispatch data, vehicle tracking and clinical records are out of scope (S6). Notification channel still open (OI-28).</t>
  </si>
  <si>
    <t>Beyond the brief, which measures assigned workload; S6 wants the system kept focused on rostering. Suggest 'Could have'; team to decide scope.</t>
  </si>
  <si>
    <t>S3 Q1, Q6; S6 17:40</t>
  </si>
  <si>
    <t>None yet</t>
  </si>
  <si>
    <t>SR-05</t>
  </si>
  <si>
    <t>Record which role each person covered on each shift (e.g. a driver also covering care assistant), so workload and staffing reports reflect dual-role shifts.</t>
  </si>
  <si>
    <t>S3; supported by staff ratings</t>
  </si>
  <si>
    <t>S3 Q3; S2 Q11; S1 Q10; Questionnaire R1-R5 Q8 (mean 4.0/5)</t>
  </si>
  <si>
    <t>Adopt as 'Should have'.</t>
  </si>
  <si>
    <t>OI-36</t>
  </si>
  <si>
    <t>FR-37</t>
  </si>
  <si>
    <t>SR-06</t>
  </si>
  <si>
    <t>Staff arrange shift cover directly with a colleague, then inform the manager.</t>
  </si>
  <si>
    <t>S2 (real-world practice)</t>
  </si>
  <si>
    <t>S2 Q9</t>
  </si>
  <si>
    <t>OI-11, OI-27</t>
  </si>
  <si>
    <t>Partial month workload handling</t>
  </si>
  <si>
    <t>Not adopted: conflicts with manager-controlled rostering (S5: staff do not change others' assignments). Note as a future enhancement.</t>
  </si>
  <si>
    <t>Deferred</t>
  </si>
  <si>
    <t>Staff who join, leave, or change role partway through a month may have fewer allocated hours simply because they were active for less of the month. This could affect both their personal monthly workload display and manager workload comparisons/rankings.</t>
  </si>
  <si>
    <t>IR-06; IR-08</t>
  </si>
  <si>
    <t>SR-07</t>
  </si>
  <si>
    <t>Determine how workload should be displayed and compared for staff who are active for only part of a month, and whether any adjustment or special treatment is required.</t>
  </si>
  <si>
    <t>Preferred station/area as a job preference (e.g. near home or school, or away from heavy traffic).</t>
  </si>
  <si>
    <t>S2; S1</t>
  </si>
  <si>
    <t>S2 Q12; S1 Q5; Questionnaire R1 Q9</t>
  </si>
  <si>
    <t>Adopt within the job-preference requirement.</t>
  </si>
  <si>
    <t>Not discussed with any stakeholder. The related role-change case is covered: history carries over when someone changes role (S3). Proposed default: show actual assigned hours with no pro-rating, and flag partial-month staff in manager comparisons. Team to confirm.</t>
  </si>
  <si>
    <t>Edge case</t>
  </si>
  <si>
    <t>OI-37</t>
  </si>
  <si>
    <t>Availability representation and granularity</t>
  </si>
  <si>
    <t>The brief repeatedly says staff provide “availability,” but never defines what an availability entry actually contains.</t>
  </si>
  <si>
    <t>IR-05; IR-09; BR-DOC-03</t>
  </si>
  <si>
    <t>Whether availability is entered by whole day, shift, specific time interval, or another unit, whether partial availability is permitted; and what information is required.</t>
  </si>
  <si>
    <t>Availability is entered by individual 12-hour shift (day or night); no whole-day entries or custom start/end times (S5). Staff agree: S2 plots whole shifts and says time ranges do not matter; 4 of 5 respondents chose 'specific shifts' and 1 chose 'specific time ranges'. The driver also wants to mark half-day availability; with two 12-hour shifts a day, selecting one shift covers this (S1).</t>
  </si>
  <si>
    <t>S5 s.14; S2 Q4; S1 Q2; Questionnaire R1-R5 Q2</t>
  </si>
  <si>
    <t>OI-38</t>
  </si>
  <si>
    <t>Assignment conflict / double-booking</t>
  </si>
  <si>
    <t>The brief doesn't state what happens if the same employee or ambulance would be assigned to overlapping jobs.</t>
  </si>
  <si>
    <t>IR-03; BR-DOC-06; BR-DOC-09; BR-DOC-10</t>
  </si>
  <si>
    <t>Whether conflicting staff/ambulance assignments must be prevented, warned about, or otherwise handled, including conflicts with availability/rest constraints.</t>
  </si>
  <si>
    <t>FR-12</t>
  </si>
  <si>
    <t>Prevent it: a staff member cannot be assigned to overlapping slots, and an ambulance cannot be in two simultaneous slots. Checked at the point of assignment; any remaining conflict appears in the pre-publication validation summary (SR-02).</t>
  </si>
  <si>
    <t>S6 12:18-13:03</t>
  </si>
  <si>
    <t>SR-08</t>
  </si>
  <si>
    <t>Personalised roster: a staff member sees only their own shifts, for the whole month, on their phone.</t>
  </si>
  <si>
    <t>S2; consistent with S3 permissions</t>
  </si>
  <si>
    <t>OI-39</t>
  </si>
  <si>
    <t>S2 Q13; S3 Q3</t>
  </si>
  <si>
    <t>Usability and training expectations</t>
  </si>
  <si>
    <t>IR-08, OI-39</t>
  </si>
  <si>
    <t>The project asks for an “interactive and visual” system, but provides no measurable usability expectation. The M1 rubric specifically expects comprehensive and measurable NFRs including usability.</t>
  </si>
  <si>
    <t>IR-02; IR-05; IR-08 / stakeholder discovery</t>
  </si>
  <si>
    <t>FR-35, NFR-09</t>
  </si>
  <si>
    <t xml:space="preserve">Expected ease of learning/use, typical usage environment, acceptable training needs, and important usability problems to avoid.
</t>
  </si>
  <si>
    <t>SR-09</t>
  </si>
  <si>
    <t>Show incoming and outgoing crew on each assignment so staff can coordinate handover.</t>
  </si>
  <si>
    <t>Staff want a personalised roster: only their own shifts, the whole month at a glance, on their phone, instead of scrolling a shared team spreadsheet (S2). No measurable usability target or training expectation was given; A2 to propose one for validation.</t>
  </si>
  <si>
    <t>S2 Q13</t>
  </si>
  <si>
    <t>S2 Q7</t>
  </si>
  <si>
    <t>OI-40</t>
  </si>
  <si>
    <t>Adopt within assignment details.</t>
  </si>
  <si>
    <t>Changes and temporary unavailability within the ambulance fleet</t>
  </si>
  <si>
    <t>The brief says there are currently 10 ambulances, implying this is current organisational data rather than necessarily a fixed limit. The utilisation/manpower page also depends on knowing which ambulances are actually available.</t>
  </si>
  <si>
    <t>FR-34</t>
  </si>
  <si>
    <t>BR-DOC-05; IR-07</t>
  </si>
  <si>
    <t>SR-10</t>
  </si>
  <si>
    <t>Spread standby call-ins fairly, e.g. by showing how often each candidate has recently been activated when the manager picks a replacement.</t>
  </si>
  <si>
    <t>Whether ambulances can be added/removed from the system and how temporarily unavailable ambulances should be represented.</t>
  </si>
  <si>
    <t>S1</t>
  </si>
  <si>
    <t>S1 Q7; Questionnaire R1-R5 Q7 (mean 2.6/5)</t>
  </si>
  <si>
    <t>OI-21, OI-22</t>
  </si>
  <si>
    <t>Suggest 'Could have'; team to decide.</t>
  </si>
  <si>
    <t>The fleet is configurable. Managers may add and edit ambulance records. Ambulances that are no longer active shall be deactivated rather than permanently deleted so that historical roster records are preserved, and may later be reactivated. Temporary unavailability is recorded for one or more roster shifts. An unavailable ambulance cannot receive a new assignment during an affected shift; if an existing assignment becomes affected, the system flags it for manager amendment rather than modifying it automatically.</t>
  </si>
  <si>
    <t>S3 Q7 + follow-up; S6 13:11 + follow-up</t>
  </si>
  <si>
    <t>OI-41</t>
  </si>
  <si>
    <t>Dispatch / call-handling scope (team finding)</t>
  </si>
  <si>
    <t>The NHS roles directory cited in the brief lists call handler / dispatcher roles that the brief never mentions. If incoming jobs had to be routed through this system, scope would change materially.</t>
  </si>
  <si>
    <t>BR-DOC-17; document analysis (NHS roles cross-reference)</t>
  </si>
  <si>
    <t>Whether the system must receive and route incoming jobs, or only handle staffing and workload.</t>
  </si>
  <si>
    <t>Out of scope. In real practice, call takers answer 995 calls and an operations centre dispatches the nearest ambulance; the roster manager is not involved (S2). The driver assumed jobs come from the manager but was unsure (S1). S5 and S6 confirm the system organises staffing and workload, not individual calls, and dispatch data belongs to a separate system.</t>
  </si>
  <si>
    <t>S2 Q1; S1 Q8; S5 s.1; S6 06:00, 17:40</t>
  </si>
  <si>
    <t>Scope boundary</t>
  </si>
  <si>
    <t>OI-42</t>
  </si>
  <si>
    <t>Acceptable response time for key manager pages</t>
  </si>
  <si>
    <t>NFR-03</t>
  </si>
  <si>
    <t>What maximum loading time is acceptable for the manager landing page and roster</t>
  </si>
  <si>
    <t>S3 specified that the manager landing page and roster allocation page should display their required information within 3 seconds under the system's expected maximum concurrent load.</t>
  </si>
  <si>
    <t>S3 performance follow-up</t>
  </si>
  <si>
    <t>Stakeholder Conflict Log</t>
  </si>
  <si>
    <t>Where stakeholders gave different answers to the same issue. Nothing is silently averaged: each conflict records both positions, a proposed resolution and its rationale. Items still In Progress need team sign-off.</t>
  </si>
  <si>
    <t>Topic</t>
  </si>
  <si>
    <t>Position A</t>
  </si>
  <si>
    <t>Position B</t>
  </si>
  <si>
    <t>Proposed Resolution</t>
  </si>
  <si>
    <t>Rationale</t>
  </si>
  <si>
    <t>C1</t>
  </si>
  <si>
    <t>Publishing a roster with fewer than six fully staffed ambulances</t>
  </si>
  <si>
    <t>OI-16, BR-DOC-08</t>
  </si>
  <si>
    <t>S4: warn, require acknowledgement, allow publishing (override).</t>
  </si>
  <si>
    <t>S5, S6: save as draft; block publication until at least six are fully staffed; post-publication shortfalls flagged and correctable.</t>
  </si>
  <si>
    <t>Adopt S5/S6.</t>
  </si>
  <si>
    <t>Resolution: Adopt the hard-block approach. The system shall prevent publication when any roster shift contains fewer than six fully staffed ambulances. S6 clarified that the six-ambulance minimum is a mandatory publication condition rather than an advisory target. The differing warning/override preference from the earlier stakeholder is retained as dissenting evidence.</t>
  </si>
  <si>
    <t>C2</t>
  </si>
  <si>
    <t>Enforcing the 12-hour rest rule</t>
  </si>
  <si>
    <t>OI-17, BR-DOC-10</t>
  </si>
  <si>
    <t>S4: warn, allow override when a staff member volunteers.</t>
  </si>
  <si>
    <t>S5, S6: hard block, including replacements; no override without a formal exception policy.</t>
  </si>
  <si>
    <t>Adopt hard block.</t>
  </si>
  <si>
    <t>2 of 3 managers; no policy defines who could authorise an exception (S6). Same S6 dependency as C1.</t>
  </si>
  <si>
    <t>C3</t>
  </si>
  <si>
    <t>How a driver's care-assistant capability is recorded</t>
  </si>
  <si>
    <t>OI-15, SR-01, BR-DOC-06</t>
  </si>
  <si>
    <t>S3: infer it automatically for every driver; no separate field.</t>
  </si>
  <si>
    <t>S6: record it per driver; block care-assistant assignment if not recorded.</t>
  </si>
  <si>
    <t>Adopt S6's position for role eligibility. A staff member's qualifications shall be recorded explicitly on their account rather than inferred solely from their primary role. A Driver may fulfil the Care Assistant role only when Care Assistant eligibility is recorded for that staff member. The IT Administrator is responsible for maintaining the recorded qualifications.</t>
  </si>
  <si>
    <t>The project description establishes that a Driver may double as a Care Assistant, but does not establish that every Driver automatically has Care Assistant eligibility. S6's approach preserves individual qualification checking, while S3's account-administration responsibility is retained by allowing the IT Administrator to maintain the qualification records.</t>
  </si>
  <si>
    <t>C4</t>
  </si>
  <si>
    <t>Monthly workload period</t>
  </si>
  <si>
    <t>OI-04, IR-08</t>
  </si>
  <si>
    <t>S4: rolling monthly view for the manager.</t>
  </si>
  <si>
    <t>S2: calendar month on the staff landing page; IR-08 says 'for the month'.</t>
  </si>
  <si>
    <t>Calendar month for both views.</t>
  </si>
  <si>
    <t>Matches IR-08's wording and the staff expectation; one definition avoids two different monthly totals for the same person.</t>
  </si>
  <si>
    <t>C5</t>
  </si>
  <si>
    <t>Availability horizon: staff vs manager</t>
  </si>
  <si>
    <t>Staff: prefer committing 2-3 weeks ahead (4 of 5); EMT wants a month or more.</t>
  </si>
  <si>
    <t>S5: five weeks.</t>
  </si>
  <si>
    <t>Five-week maximum window.</t>
  </si>
  <si>
    <t>Not a real conflict: a maximum does not force early submission, and the Wednesday cut-off still applies.</t>
  </si>
  <si>
    <t>C6</t>
  </si>
  <si>
    <t>Definition of ambulance utilisation</t>
  </si>
  <si>
    <t>S4: percentage of shift time in service (11 of 12 hours), per ambulance and fleet-wide.</t>
  </si>
  <si>
    <t>S5, S6: allocated / scheduled use only; actual call time out of scope.</t>
  </si>
  <si>
    <t>Scheduled utilisation from roster data, including S4's 11-of-12-hour ceiling.</t>
  </si>
  <si>
    <t>S4's figures are themselves scheduled, not actual, so all three agree once scoped.</t>
  </si>
  <si>
    <t>c3 , check back and see if S6 should override as a source of truth</t>
  </si>
  <si>
    <t>Evidence Sources (S / Q codes)</t>
  </si>
  <si>
    <t>Codes used in every Evidence Reference column. Interview question numbers (Q1, Q2...) follow the order questions were asked in each transcript (S1, S2, S3); S4 is cited by OI label, S5 by section number, S6 by timestamp. Fill in the bracketed fields for the attendance record.</t>
  </si>
  <si>
    <t>Code</t>
  </si>
  <si>
    <t>Stakeholder Role</t>
  </si>
  <si>
    <t>Representative</t>
  </si>
  <si>
    <t>Type</t>
  </si>
  <si>
    <t>Method</t>
  </si>
  <si>
    <t>Date</t>
  </si>
  <si>
    <t>Evidence Status</t>
  </si>
  <si>
    <t>Notes</t>
  </si>
  <si>
    <t>Driver</t>
  </si>
  <si>
    <t>[fill in]</t>
  </si>
  <si>
    <t>[real / role-play]</t>
  </si>
  <si>
    <t>Interview + questionnaire R1</t>
  </si>
  <si>
    <t>20 Sep 2026</t>
  </si>
  <si>
    <t>Included</t>
  </si>
  <si>
    <t>Questionnaire R1 corresponds to this session.</t>
  </si>
  <si>
    <t>Paramedic slot (practising EMT)</t>
  </si>
  <si>
    <t>Lim Yun Xi (the transcript also addresses the interviewee as 'Brandon'; confirm)</t>
  </si>
  <si>
    <t>Real industry</t>
  </si>
  <si>
    <t>Interview + questionnaire R2</t>
  </si>
  <si>
    <t>Mapped to the paramedic slot. The questionnaire answers noted at the end of the transcript differ slightly from Google Form R2 (e.g. standby comfort 3 vs 4); the form is used as the record.</t>
  </si>
  <si>
    <t>S3</t>
  </si>
  <si>
    <t>Jun Ze</t>
  </si>
  <si>
    <t>Role-play</t>
  </si>
  <si>
    <t>Interview</t>
  </si>
  <si>
    <t>Uptime, maintenance and backup were not covered (OI-32, OI-34). IT questionnaire not run.</t>
  </si>
  <si>
    <t>S4</t>
  </si>
  <si>
    <t>Operations Manager 1</t>
  </si>
  <si>
    <t>Irshad</t>
  </si>
  <si>
    <t>Role-Play</t>
  </si>
  <si>
    <t>S5</t>
  </si>
  <si>
    <t>Operations Manager 2</t>
  </si>
  <si>
    <t>Zhong Jun</t>
  </si>
  <si>
    <t>Interview evidence is referenced by section number. S5’s hard-block approach to minimum ambulance coverage and the 12-hour rest rule differs from S4’s warning/override preference; these differences are recorded in conflicts C1 and C2.</t>
  </si>
  <si>
    <t>Administrative Manager</t>
  </si>
  <si>
    <t>Dexter Tan</t>
  </si>
  <si>
    <t>Interview (timestamped)</t>
  </si>
  <si>
    <t>Included - confirm</t>
  </si>
  <si>
    <t>The summary table in this file is headed 'Simulated Administrative Manager Outcome'. If this was a classmate role-playing, rename the heading. If the transcript was generated, exclude it: conflicts C1 and C2 would then become 1-1 ties. [ISSUE FIXED-JOEL]</t>
  </si>
  <si>
    <t>Q</t>
  </si>
  <si>
    <t>Staff questionnaire</t>
  </si>
  <si>
    <t>5 responses, 22-23 Sep 2026</t>
  </si>
  <si>
    <t>Google Form</t>
  </si>
  <si>
    <t>Questionnaire (A.4)</t>
  </si>
  <si>
    <t>22-23 Sep 2026</t>
  </si>
  <si>
    <t>All included</t>
  </si>
  <si>
    <t>R1 matches S1 and R2 matches S2. R3-R5: role not recorded because the form has no role question; add one if more responses come in.</t>
  </si>
  <si>
    <t>Staff Questionnaire Responses (A.4)</t>
  </si>
  <si>
    <t>Raw Google Form responses. Summary figures below are formulas over rows where Included = Yes.</t>
  </si>
  <si>
    <t>Draft Requirement Baseline (for Section 2.2)</t>
  </si>
  <si>
    <t>Resp.</t>
  </si>
  <si>
    <t>Role</t>
  </si>
  <si>
    <t>Timestamp</t>
  </si>
  <si>
    <t>Q1 Horizon</t>
  </si>
  <si>
    <t>Draft FR / NFR / BR list derived from resolved items. Status: Confirmed = supported by stakeholder evidence; Pending validation = depends on an open conflict or detail; Open = not yet elicited. For A2 to refine before hand-off to Pair B.</t>
  </si>
  <si>
    <t>Q2 Entry method</t>
  </si>
  <si>
    <t>Q3 Edit after publish</t>
  </si>
  <si>
    <t>Q4 Location</t>
  </si>
  <si>
    <t>Q5 Preferences</t>
  </si>
  <si>
    <t>Q6 Rejection notice</t>
  </si>
  <si>
    <t>Q7 Standby comfort (1-5)</t>
  </si>
  <si>
    <t>Q8 Dual-role effect (1-5)</t>
  </si>
  <si>
    <t>Q9 Comments</t>
  </si>
  <si>
    <t>R1</t>
  </si>
  <si>
    <t>Requirement</t>
  </si>
  <si>
    <t>Yes</t>
  </si>
  <si>
    <t>Driver (S1)</t>
  </si>
  <si>
    <t>2026-09-22 22:01</t>
  </si>
  <si>
    <t>2-3 weeks</t>
  </si>
  <si>
    <t>Specific shifts</t>
  </si>
  <si>
    <t>My assigned work base only</t>
  </si>
  <si>
    <t>Origin</t>
  </si>
  <si>
    <t>Shift timing</t>
  </si>
  <si>
    <t>1 day ahead</t>
  </si>
  <si>
    <t>FR-01</t>
  </si>
  <si>
    <t>Would want job preferences to include preferred area, not just shift timing since traffic and commute distance matter.</t>
  </si>
  <si>
    <t>R2</t>
  </si>
  <si>
    <t>Paramedic slot (EMT, S2)</t>
  </si>
  <si>
    <t>2026-09-23 00:39</t>
  </si>
  <si>
    <t>More than a month</t>
  </si>
  <si>
    <t>Shift timing, Working with specific colleagues</t>
  </si>
  <si>
    <t>2-3 days ahead</t>
  </si>
  <si>
    <t>Main issue is on OT work hours. Would prefer the exact work hours to be reflected after every shift.</t>
  </si>
  <si>
    <t>The system shall allow the IT administrator to create staff and manager accounts recording full name, staff ID, role qualification(s), contact details and start date.</t>
  </si>
  <si>
    <t>R3</t>
  </si>
  <si>
    <t>Not recorded</t>
  </si>
  <si>
    <t>2026-09-23 20:54</t>
  </si>
  <si>
    <t>Shift timing, Type of job</t>
  </si>
  <si>
    <t>Functional</t>
  </si>
  <si>
    <t>IR-12, OI-25 (S3)</t>
  </si>
  <si>
    <t>Must</t>
  </si>
  <si>
    <t>R4</t>
  </si>
  <si>
    <t>Confirmed</t>
  </si>
  <si>
    <t>Initial requirement, refined: IR-12</t>
  </si>
  <si>
    <t>2026-09-23 20:55</t>
  </si>
  <si>
    <t>Specific time ranges</t>
  </si>
  <si>
    <t>None of these</t>
  </si>
  <si>
    <t>FR-02</t>
  </si>
  <si>
    <t>Which ambulance, Shift timing</t>
  </si>
  <si>
    <t>R5</t>
  </si>
  <si>
    <t>The system shall issue each new account a temporary password and require the user to change it at first login.</t>
  </si>
  <si>
    <t>OI-26 (S3)</t>
  </si>
  <si>
    <t>2026-09-23 21:06</t>
  </si>
  <si>
    <t>Should</t>
  </si>
  <si>
    <t>FR-03</t>
  </si>
  <si>
    <t>The system shall allow only the IT administrator to edit identity fields (name, staff ID, role qualifications); staff shall be able to edit their own contact details, availability and job preferences.</t>
  </si>
  <si>
    <t>OI-25, OI-27 (S3, S5)</t>
  </si>
  <si>
    <t>Summary (valid responses)</t>
  </si>
  <si>
    <t>FR-04</t>
  </si>
  <si>
    <t>The system shall require a recorded manager approval before the IT administrator changes a staff member's role, and shall retain the staff member's history across the change.</t>
  </si>
  <si>
    <t>OI-25 (S3)</t>
  </si>
  <si>
    <t>FR-05</t>
  </si>
  <si>
    <t>The system shall allow the IT administrator to suspend and deactivate accounts; suspended or deactivated users shall be unable to log in and shall not appear as assignment candidates, and their historical records shall be retained.</t>
  </si>
  <si>
    <t>FR-06</t>
  </si>
  <si>
    <t>The system shall allow the IT administrator to reset a staff member's credentials after verifying the staff ID.</t>
  </si>
  <si>
    <t>Count / Mean</t>
  </si>
  <si>
    <t>FR-07</t>
  </si>
  <si>
    <t>Valid responses</t>
  </si>
  <si>
    <t>The system shall allow the IT administrator to create, edit and deactivate staff and manager accounts, recording full name, staff ID, role qualification(s), contact details and start date</t>
  </si>
  <si>
    <t>The system shall record the role qualification(s) held by each staff member (driver, care assistant, paramedic); driver accounts shall be marked care-assistant-qualified by default, editable by the IT administrator.</t>
  </si>
  <si>
    <t>Old FR-01, FR-07; OI-15, OI-25, C3 (team decision) (S3, S6)</t>
  </si>
  <si>
    <t>OI-15, SR-01, BR-DOC-06 (S3, S6)</t>
  </si>
  <si>
    <t>Essential</t>
  </si>
  <si>
    <t>Pending validation (C3)</t>
  </si>
  <si>
    <t>New: from the brief's company description</t>
  </si>
  <si>
    <t>FR-08</t>
  </si>
  <si>
    <t>The system shall prevent a manager from assigning a staff member to a role for which they are not recorded as qualified.</t>
  </si>
  <si>
    <t>SR-01 (S6)</t>
  </si>
  <si>
    <t>The system shall allow staff to submit and edit availability by selecting individual 12-hour shifts up to five weeks ahead, and managers to view it over the same period.</t>
  </si>
  <si>
    <t>Old FR-09; OI-01, OI-37 (S5, S2, S1, questionnaire)</t>
  </si>
  <si>
    <t>New: from stakeholder elicitation</t>
  </si>
  <si>
    <t>FR-09</t>
  </si>
  <si>
    <t>Initial requirement, refined: IR-09</t>
  </si>
  <si>
    <t>The system shall allow staff to submit and edit availability by selecting individual 12-hour shifts (day or night) up to five weeks ahead.</t>
  </si>
  <si>
    <t>The system shall flag availability submitted or changed after the Wednesday cut-off as late and notify the manager.</t>
  </si>
  <si>
    <t>IR-09, OI-01, OI-37 (S5, S2, questionnaire)</t>
  </si>
  <si>
    <t>Old FR-10; OI-13; BR-DOC-03, BR-DOC-04 (S6, S2, S1)</t>
  </si>
  <si>
    <t>Desirable</t>
  </si>
  <si>
    <t>FR-10</t>
  </si>
  <si>
    <t>The system shall record availability submitted or changed after the Wednesday cut-off for a roster week and flag it to the manager as late.</t>
  </si>
  <si>
    <t>OI-13, BR-DOC-03/04 (S6, S2)</t>
  </si>
  <si>
    <t>The system shall prevent a late availability change from modifying a published assignment unless an authorised manager amends the roster.</t>
  </si>
  <si>
    <t>Old FR-11; OI-14; BR-DOC-03, BR-DOC-04 (S6, S2, questionnaire)</t>
  </si>
  <si>
    <t>FR-11</t>
  </si>
  <si>
    <t>The system shall allow staff to edit availability after a roster is published; such an edit shall not change any published assignment and shall be flagged to the manager.</t>
  </si>
  <si>
    <t>The system shall allow staff to record weekly preferences for shift type (day/night) and preferred station(s), and shall display these preferences to the manager during roster allocation.</t>
  </si>
  <si>
    <t>OI-14 (S6, questionnaire 5/5)</t>
  </si>
  <si>
    <t>Old FR-12; OI-09, OI-10, BR-DOC-18 (S2, S1, S6, questionnaire)</t>
  </si>
  <si>
    <t>Q1: 2-3 weeks</t>
  </si>
  <si>
    <t>Initial requirement, refined: IR-10</t>
  </si>
  <si>
    <t>The system shall allow staff to indicate job preferences for the week, including preferred shift type (day/night) and preferred station(s).</t>
  </si>
  <si>
    <t>IR-10, OI-09, SR-07 (S2, S1, questionnaire)</t>
  </si>
  <si>
    <t>The system shall allow a manager to build a weekly roster by assigning staff to roles in slots, where each slot is one ambulance for one 12-hour shift, and shall display the assigned staff and their roles for each slot.</t>
  </si>
  <si>
    <t>Old FR-13, FR-14; OI-02, OI-18 (S4, S5, S6)</t>
  </si>
  <si>
    <t>FR-13</t>
  </si>
  <si>
    <t>The system shall allow a manager to build a weekly roster by assigning staff to roles in ambulance slots, where a slot is one ambulance for one 12-hour shift.</t>
  </si>
  <si>
    <t>Initial requirement, refined: IR-03</t>
  </si>
  <si>
    <t>IR-03, OI-02, OI-18 (S4, S5, S6)</t>
  </si>
  <si>
    <t>When a manager selects a role to fill, the system shall show up to three suitable candidates side by side, with each candidate's availability for the week, assigned hours, job preferences and location for that date.</t>
  </si>
  <si>
    <t>Old FR-15, FR-38; OI-06, OI-07 (S6, S3, S2)</t>
  </si>
  <si>
    <t>FR-14</t>
  </si>
  <si>
    <t>For each slot, the system shall display the ambulance, date, shift time, assigned staff and the roles they cover, and any missing roles with the number of staff still required.</t>
  </si>
  <si>
    <t>Initial requirement, refined: IR-04, IR-05</t>
  </si>
  <si>
    <t>IR-07, OI-18, OI-20 (S4, S5)</t>
  </si>
  <si>
    <t>Initial requirement, refined: IR-07</t>
  </si>
  <si>
    <t>Q1: More than a month</t>
  </si>
  <si>
    <t>On the allocation page, the system shall show up to three suitable candidates side by side for a selected role in a slot, with each candidate's shift availability for the week, assigned hours, job preferences and location for that date. A suitable candidate is available, qualified, not already booked in an overlapping slot and meets the 12-hour rest rule.</t>
  </si>
  <si>
    <t>IR-04, IR-05, OI-06, OI-10 (S6, S4, S3)</t>
  </si>
  <si>
    <t>FR-16</t>
  </si>
  <si>
    <t>The system shall prevent assigning a staff member to a role for which they are not recorded as qualified.</t>
  </si>
  <si>
    <t>The system shall treat a slot as fully staffed when it has one driver, one care assistant and two paramedics, or one care-assistant-qualified driver covering both roles and two paramedics.</t>
  </si>
  <si>
    <t>OI-15, BR-DOC-06 (S4, S5)</t>
  </si>
  <si>
    <t>Old FR-08; SR-01 (S6)</t>
  </si>
  <si>
    <t>FR-17</t>
  </si>
  <si>
    <t>The system shall prevent assigning a staff member to overlapping slots, and assigning an ambulance to two simultaneous slots.</t>
  </si>
  <si>
    <t>OI-38 (S6)</t>
  </si>
  <si>
    <t>The system shall prevent the same staff member or ambulance from being assigned to more than one roster slot during the same shift.</t>
  </si>
  <si>
    <t>Q2: Specific shifts</t>
  </si>
  <si>
    <t>Old FR-17; OI-38 (S6)</t>
  </si>
  <si>
    <t xml:space="preserve">FR-18 </t>
  </si>
  <si>
    <t>The system shall prevent any assignment, including a replacement, that leaves a staff member less than 12 hours of rest between shifts.</t>
  </si>
  <si>
    <t>OI-17, BR-DOC-10 (S5, S6)</t>
  </si>
  <si>
    <t>Old FR-18; OI-17, BR-DOC-10 (S5, S6)</t>
  </si>
  <si>
    <t>Pending validation (C2)</t>
  </si>
  <si>
    <t>FR-19 !</t>
  </si>
  <si>
    <t>The system shall warn the manager on screen, without blocking, at the point of assignment when the assignment would take a staff member above 40 assigned hours in the roster week.</t>
  </si>
  <si>
    <t>Old FR-21; OI-05 (S4, S5, S6)</t>
  </si>
  <si>
    <t>The system shall allow a manager to save an incomplete roster as a draft, and shall block publication unless at least six ambulances are fully staffed in every shift of the roster week.</t>
  </si>
  <si>
    <t>Q2: Specific time ranges</t>
  </si>
  <si>
    <t>Initial requirement, refined: IR-06</t>
  </si>
  <si>
    <t>OI-16, BR-DOC-08 (S5, S6)</t>
  </si>
  <si>
    <t>Pending validation (C1)</t>
  </si>
  <si>
    <t>The system shall prevent publication of a weekly roster if any roster shift contains fewer than six fully staffed ambulances.</t>
  </si>
  <si>
    <t>Old FR-19; OI-16, BR-DOC-08 (S5, S6)</t>
  </si>
  <si>
    <t>Before publication, the system shall display a validation summary listing blocking issues (fewer than six fully staffed ambulances, missing roles, rest conflicts, double bookings, ineligible roles) and advisory warnings (staff above 40 hours), each linked to the affected slot.</t>
  </si>
  <si>
    <t>SR-02 (S6)</t>
  </si>
  <si>
    <t>FR-21</t>
  </si>
  <si>
    <t>The system shall allow a manager to modify or reassign a job in a published roster, and shall require a reason for the change.</t>
  </si>
  <si>
    <t>Q3: Yes (edit after publish)</t>
  </si>
  <si>
    <t>Old FR-22; OI-24, SR-03 (S4, S5, S6)</t>
  </si>
  <si>
    <t>The system shall warn the manager on screen, without blocking, when an assignment takes a staff member above 40 assigned hours in the roster week.</t>
  </si>
  <si>
    <t>IR-06, OI-05 (S4, S5, S6)</t>
  </si>
  <si>
    <t>If fewer than six ambulances are fully staffed in any shift after publication, the system shall flag the shortfall and the missing roles on the roster.</t>
  </si>
  <si>
    <t>FR-22</t>
  </si>
  <si>
    <t>The system shall allow a manager to modify or reassign jobs in a published roster, and shall require a reason selected from: sickness, staff rejection, ambulance unavailable, or other with a short explanation.</t>
  </si>
  <si>
    <t>Old FR-25; OI-16 (S5, S6)</t>
  </si>
  <si>
    <t>OI-24, SR-03 (S4, S5, S6)</t>
  </si>
  <si>
    <t>Q4: My assigned work base only</t>
  </si>
  <si>
    <t>FR-23</t>
  </si>
  <si>
    <t>When a published assignment changes, the system shall notify the staff member removed and the staff member added.</t>
  </si>
  <si>
    <t>Old FR-24; OI-24, OI-28 (S4, S5, S6)</t>
  </si>
  <si>
    <t>For every change to a published roster, the system shall retain the previous assignment, the new assignment, the user who made the change, the timestamp and the reason.</t>
  </si>
  <si>
    <t>Pending validation (channel, OI-28)</t>
  </si>
  <si>
    <t>OI-24, OI-29, SR-03 (S6, S3)</t>
  </si>
  <si>
    <t>FR-24</t>
  </si>
  <si>
    <t>Staff shall be able to reject jobs assigned to them. Before the rejection is submitted, the system shall warn them to discuss the job with their manager and require a reason. Once submitted, the role becomes unassigned and the manager is notified.</t>
  </si>
  <si>
    <t>When a published assignment changes, the system shall notify the staff member removed and the staff member added, and shall show the manager that the notifications were generated.</t>
  </si>
  <si>
    <t>Old FR-26, FR-27; OI-11 (S5, S1)</t>
  </si>
  <si>
    <t>OI-24, OI-28 (S4, S5, S6)</t>
  </si>
  <si>
    <t>Initial requirement, refined: IR-11</t>
  </si>
  <si>
    <t>FR-25</t>
  </si>
  <si>
    <t>Q4: None of these</t>
  </si>
  <si>
    <t>The system shall list a staff member as an eligible standby candidate for an unfilled role only if the staff member has declared availability for the shift, is qualified for the role, is not already assigned during that shift, and would have at least 12 hours of rest between duties.</t>
  </si>
  <si>
    <t>If coverage drops below six fully staffed ambulances after publication, the system shall keep the roster visible, flag the shortfall and missing roles, and allow the manager to record the absence and make corrective changes.</t>
  </si>
  <si>
    <t>Old FR-28; OI-21; BR-DOC-14 (S5, S2, S1, questionnaire)</t>
  </si>
  <si>
    <t>OI-16 (S5, S6)</t>
  </si>
  <si>
    <t>FR-18</t>
  </si>
  <si>
    <t>FR-26</t>
  </si>
  <si>
    <t>The system shall mark a vacancy as filled only after the selected replacement staff member confirms the assignment.</t>
  </si>
  <si>
    <t>The system shall allow staff to reject their own assignment; before submission it shall warn them to discuss the rejection with their manager and require a reason. No rejection deadline shall be enforced.</t>
  </si>
  <si>
    <t>Old FR-29; OI-22; BR-DOC-14 (S5, S6)</t>
  </si>
  <si>
    <t>IR-11, OI-11, OI-12 (S5)</t>
  </si>
  <si>
    <t>FR-19</t>
  </si>
  <si>
    <t>Q4: Live GPS tracking</t>
  </si>
  <si>
    <t>FR-27</t>
  </si>
  <si>
    <t>The manager landing page shall show each staff member's assigned hours for the roster week, identify the three staff members with the lowest assigned hours, and highlight any staff member whose assigned hours for the roster week exceed 40 hours. If multiple staff members are tied at the cutoff for the three lowest assigned-hour values, the system shall include all staff members tied at that value in the lowest-workload list.</t>
  </si>
  <si>
    <t>When a rejection is submitted, the system shall notify the manager, mark the role in that slot as unassigned, and leave other crew assignments unchanged.</t>
  </si>
  <si>
    <t>IR-06, Old FR-31; OI-03, OI-04 (S6), OI-05 (S4, S5)</t>
  </si>
  <si>
    <t>OI-11 (S5)</t>
  </si>
  <si>
    <t>Initial requirement, refined: IR-02, IR-06</t>
  </si>
  <si>
    <t>The system shall calculate and display scheduled utilisation for each ambulance per day and per week as scheduled in-service hours divided by the total shift hours in the period, counting at most 11 in-service hours for each rostered 12-hour shift.</t>
  </si>
  <si>
    <t>Old FR-33; IR-07; OI-19; BR-DOC-12, BR-DOC-13; C6 (S4, S5, S6)</t>
  </si>
  <si>
    <t>FR-28</t>
  </si>
  <si>
    <t>For an unfilled role, the system shall list standby candidates who are off duty, qualified for the role, not already assigned in an overlapping slot and would have at least 12 hours of rest.</t>
  </si>
  <si>
    <t>Q5: Shift timing</t>
  </si>
  <si>
    <t>OI-21, OI-22, BR-DOC-14 (S5, S6)</t>
  </si>
  <si>
    <t>The system shall calculate and display fleet utilisation for each roster shift as the number of rostered ambulances divided by the active fleet size.</t>
  </si>
  <si>
    <t>Old FR-33; IR-07; OI-19; BR-DOC-05; C6 (S4, S5, S6)</t>
  </si>
  <si>
    <t>FR-29</t>
  </si>
  <si>
    <t>The system shall show a vacancy as filled only after the selected replacement confirms and the manager updates the roster.</t>
  </si>
  <si>
    <t>OI-22 (S5, S6)</t>
  </si>
  <si>
    <t>FR-30</t>
  </si>
  <si>
    <t>Q5: Type of job</t>
  </si>
  <si>
    <t>The system shall add no workload hours for standby time that is not activated, and shall count hours worked after activation towards workload.</t>
  </si>
  <si>
    <t>The system shall list roster slots requiring manpower, including the missing role and number of staff required.</t>
  </si>
  <si>
    <t>OI-21 (S5)</t>
  </si>
  <si>
    <t>Old FR-33; IR-07; OI-18, OI-20 (S4, S5)</t>
  </si>
  <si>
    <t>FR-31</t>
  </si>
  <si>
    <t>The system shall allow a manager to save an incomplete weekly roster as a draft before publication.</t>
  </si>
  <si>
    <t>Old FR-19; OI-16</t>
  </si>
  <si>
    <t>The manager landing page shall show each staff member's assigned hours for the roster week, list the three staff with the lowest assigned hours, and highlight all staff above 40 hours.</t>
  </si>
  <si>
    <t>IR-02, IR-06, OI-03, OI-04, OI-05 (S4, S5)</t>
  </si>
  <si>
    <t>Q5: Working with specific colleagues</t>
  </si>
  <si>
    <t>The staff landing page shall display the staff member’s own assignments for the selected roster week, including the date, shift start and end times, ambulance, station, assigned role, and incoming and outgoing crew.</t>
  </si>
  <si>
    <t>Pending validation (tie-break, OI-04)</t>
  </si>
  <si>
    <t>Old FR-34; OI-23, OI-04 (S2, S1)</t>
  </si>
  <si>
    <t>Initial requirement, refined: IR-08</t>
  </si>
  <si>
    <t>FR-32</t>
  </si>
  <si>
    <t>The system shall show each staff member's assigned hours per calendar month for the manager to review workload distribution.</t>
  </si>
  <si>
    <t>The staff landing page shall display the staff member’s total assigned hours for the calendar month.</t>
  </si>
  <si>
    <t>Old FR-34; OI-04; C4</t>
  </si>
  <si>
    <t>OI-04 (S4, S5)</t>
  </si>
  <si>
    <t>Q5: Which ambulance</t>
  </si>
  <si>
    <t>Pending validation (C4)</t>
  </si>
  <si>
    <t>The system shall display each staff member’s total assigned hours for the calendar month to the manager.</t>
  </si>
  <si>
    <t>Old FR-32; OI-04 (S4, S5); C4</t>
  </si>
  <si>
    <t>The utilisation page shall show, per ambulance per day and per week, scheduled in-service hours (at most 11 per rostered 12-hour shift) as a percentage of shift hours in the period, and fleet utilisation as ambulances rostered in a shift divided by the active fleet; it shall also list slots requiring manpower with the missing role and number.</t>
  </si>
  <si>
    <t>The system shall allow a manager to add, edit, deactivate and reactivate ambulance records.</t>
  </si>
  <si>
    <t>Old FR-36; OI-40, BR-DOC-05 (S3, S6)</t>
  </si>
  <si>
    <t>IR-07, OI-19, OI-20, BR-DOC-11-13 (S4, S5, S6)</t>
  </si>
  <si>
    <t>The system shall allow a manager to mark an ambulance as unavailable for one or more roster shifts and shall prevent the ambulance from being assigned to those shifts.</t>
  </si>
  <si>
    <t>Old FR-36; OI-40; BR-DOC-05 (S6 13:11 + follow-up)</t>
  </si>
  <si>
    <t>Q6: 1 day ahead</t>
  </si>
  <si>
    <t xml:space="preserve"> Essential </t>
  </si>
  <si>
    <t>New: derived from BR-DOC-05 and stakeholder elicitation</t>
  </si>
  <si>
    <t>The staff landing page shall show the staff member's assignments for the current week, each with date, shift and times, ambulance, station, role and crew members including incoming/outgoing crew, and their total assigned hours for the calendar month.</t>
  </si>
  <si>
    <t>The system shall record the role or roles fulfilled by each staff member for every roster assignment.</t>
  </si>
  <si>
    <t>IR-08, OI-23, SR-09 (S2, S1)</t>
  </si>
  <si>
    <t>Old FR-37; SR-05; OI-15; BR-DOC-06 (S3, S2, S1)</t>
  </si>
  <si>
    <t>Pending validation (C4, OI-36)</t>
  </si>
  <si>
    <t>NFR-01</t>
  </si>
  <si>
    <t>The system shall provide all staff-facing functions through a web browser on both desktop and smartphone devices.</t>
  </si>
  <si>
    <t>Non-functional (Portability/Usability)</t>
  </si>
  <si>
    <t>Old NFR-01; OI-30 (S3, S2)</t>
  </si>
  <si>
    <t>FR-35</t>
  </si>
  <si>
    <t>Pending validation (browsers)</t>
  </si>
  <si>
    <t>Initial requirement, refined: IR-01</t>
  </si>
  <si>
    <t>The system shall show a staff member only their own assignments, and shall provide a personalised view of all their assigned shifts for the month.</t>
  </si>
  <si>
    <t>NFR-02</t>
  </si>
  <si>
    <t>The system shall support at least 146 concurrent authenticated users.</t>
  </si>
  <si>
    <t>Q6: 2-3 days ahead</t>
  </si>
  <si>
    <t>OI-27, SR-08 (S2, S3)</t>
  </si>
  <si>
    <t>Non-functional (Performance)</t>
  </si>
  <si>
    <t>Old NFR-02; OI-31 (S3)</t>
  </si>
  <si>
    <t>The manager landing page and roster allocation page shall display their required information within 3 seconds while the system is supporting up to the maximum concurrent-user load specified in NFR-02.</t>
  </si>
  <si>
    <t>The system shall allow a manager to add, edit and remove ambulance records, and to mark an ambulance unavailable for a date range; unavailable ambulances shall not be offered as assignable slots.</t>
  </si>
  <si>
    <t>Old NFR-03; OI-31; OI 42 (S3 follow up)</t>
  </si>
  <si>
    <t>OI-40, BR-DOC-05 (S3, S6)</t>
  </si>
  <si>
    <t>Initial requirement, refined through stakeholder elicitation: IR-02</t>
  </si>
  <si>
    <t>NFR-04</t>
  </si>
  <si>
    <t>Q7: Mean standby comfort (1-5)</t>
  </si>
  <si>
    <t>The system shall require multi-factor authentication for Manager and IT Administrator accounts, while Staff accounts shall authenticate using an email address and password.</t>
  </si>
  <si>
    <t>Non-functional (Security)</t>
  </si>
  <si>
    <t>Old NFR-04; OI-26 (S3)</t>
  </si>
  <si>
    <t>The system shall record the role(s) each staff member covers in each assignment and show this in assignment and workload views.</t>
  </si>
  <si>
    <t>SR-05, OI-15 (S3, questionnaire)</t>
  </si>
  <si>
    <t>NFR-05</t>
  </si>
  <si>
    <t>The system shall enforce role-based access control such that Staff accounts may access only their own assignments, workload and availability, while IT Administrator accounts shall not be granted access to operational roster, assignment, workload, availability or staff-location data.</t>
  </si>
  <si>
    <t>Non-functional (Security/Privacy)</t>
  </si>
  <si>
    <t>Old NFR-05, FR-35; OI-27, OI-33 (S3, S5)</t>
  </si>
  <si>
    <t>FR-38</t>
  </si>
  <si>
    <t>NFR-06</t>
  </si>
  <si>
    <t>The system shall record a staff member's location for a date as the station they are assigned to or have declared for that date; it shall not collect live GPS location.</t>
  </si>
  <si>
    <t>The system shall restrict staff location data so that Staff may access only their own location information, while Managers may access staff location information only for dates within the five-week planning window.</t>
  </si>
  <si>
    <t>IR-05, OI-07 (S2, S3, S6, questionnaire)</t>
  </si>
  <si>
    <t>Non-functional (Privacy)</t>
  </si>
  <si>
    <t>Old NFR-06; OI-08 (S3, questionnaire), S6 Clarification</t>
  </si>
  <si>
    <t>Initial requirement, refined: IR-05</t>
  </si>
  <si>
    <t>FR-39</t>
  </si>
  <si>
    <t>NFR-07</t>
  </si>
  <si>
    <t>The system shall maintain an audit log of account changes, roster assignments and amendments, assignment rejections, and availability changes, recording the acting user and timestamp and, where applicable, the previous value, new value, and stated reason.</t>
  </si>
  <si>
    <t>Non-functional (Security/Auditability)</t>
  </si>
  <si>
    <t>The system shall log account events (creation, identity edits, role changes with approver and executor, suspensions, reactivations, deactivations, password resets, failed logins and lockouts), every assignment, rejection with reason, and availability submission or edit, each with a timestamp.</t>
  </si>
  <si>
    <t>Old FR-23, FR-39, NFR-07; OI-29 (S3, S6)</t>
  </si>
  <si>
    <t>Pending validation (retention)</t>
  </si>
  <si>
    <t>OI-29 (S3)</t>
  </si>
  <si>
    <t>Q8: Mean dual-role effect on breaks (1-5)</t>
  </si>
  <si>
    <t>NFR-08</t>
  </si>
  <si>
    <t>The system shall provide a dedicated monthly assignment view that allows a staff member to view all of their own assigned shifts for the selected calendar month without displaying the full team roster.</t>
  </si>
  <si>
    <t>Non-functional (Usability)</t>
  </si>
  <si>
    <t>Old NFR-09; OI-39, SR-08 (S2)</t>
  </si>
  <si>
    <t>Pending validation</t>
  </si>
  <si>
    <t>The system shall be web-based, and all staff functions shall be usable on a smartphone screen as well as on a desktop.</t>
  </si>
  <si>
    <t>NFR-09</t>
  </si>
  <si>
    <t>The system shall be available 24 hours per day, excluding planned maintenance, with no more than four hours of unplanned downtime per calendar month.</t>
  </si>
  <si>
    <t>IR-01, OI-30 (S3, S2)</t>
  </si>
  <si>
    <t>Non-functional (Reliability)</t>
  </si>
  <si>
    <t>Old NFR-08; OI-32, OI-34, S3 follow up</t>
  </si>
  <si>
    <t>Pending validation (browsers, accessibility)</t>
  </si>
  <si>
    <t>Open - not elicited</t>
  </si>
  <si>
    <t>The system shall support at least twice the number of registered staff as concurrent users (at least 146 for the current 73 staff).</t>
  </si>
  <si>
    <t>OI-31 (S3)</t>
  </si>
  <si>
    <t>The manager landing page and allocation page shall load within [X] seconds under the load in NFR-02.</t>
  </si>
  <si>
    <t>IR-02, OI-31</t>
  </si>
  <si>
    <t>Open - target not elicited</t>
  </si>
  <si>
    <t>Initial requirement, refined: IR-01, IR-02</t>
  </si>
  <si>
    <t>Manager and IT administrator accounts shall require multi-factor authentication; staff accounts shall use email and password.</t>
  </si>
  <si>
    <t>Access shall be role-based: staff see only their own data, managers see team operational data, and IT administrators have no routine access to operational data; any access outside a user's normal scope shall be logged.</t>
  </si>
  <si>
    <t>OI-27, OI-33, OI-08 (S3)</t>
  </si>
  <si>
    <t>Staff location data shall be viewable only by managers and only for dates within the five-week planning window.</t>
  </si>
  <si>
    <t>OI-08 (S3, questionnaire)</t>
  </si>
  <si>
    <t>Account and security logs shall be retained for at least one year, availability data for about one year, and roster history for a period to be confirmed with hospital compliance.</t>
  </si>
  <si>
    <t>Non-functional (Compliance)</t>
  </si>
  <si>
    <t>OI-29 (S3, S6)</t>
  </si>
  <si>
    <t>Operating hours, maximum acceptable downtime, and backup/recovery targets.</t>
  </si>
  <si>
    <t>OI-32, OI-34</t>
  </si>
  <si>
    <t>A staff member shall be able to see all of their assigned shifts for the month on a single screen without viewing or filtering the full team roster.</t>
  </si>
  <si>
    <t>OI-39, SR-08 (S2)</t>
  </si>
  <si>
    <t>NFR-10</t>
  </si>
  <si>
    <t>Staff records shall use the same staff IDs as the existing HR/payroll records; the system shall run as a separate application with no live integration.</t>
  </si>
  <si>
    <t>Non-functional (Interoperability constraint)</t>
  </si>
  <si>
    <t>OI-35 (S3)</t>
  </si>
  <si>
    <t>BR-01</t>
  </si>
  <si>
    <t>Workload is the total assigned working hours; one 12-hour shift counts as 12 hours.</t>
  </si>
  <si>
    <t>Business rule</t>
  </si>
  <si>
    <t>OI-03 (S4, S5, S6)</t>
  </si>
  <si>
    <t>BR-02</t>
  </si>
  <si>
    <t>The primary workload period is the roster week; 40 assigned hours per roster week is a project-defined warning threshold, not a legal or contractual limit.</t>
  </si>
  <si>
    <t>OI-04, OI-05 (S4, S5, S6)</t>
  </si>
  <si>
    <t>BR-03</t>
  </si>
  <si>
    <t>A job is one staff member assigned to one role on one ambulance for one 12-hour shift; calls attended within a shift are not separate jobs.</t>
  </si>
  <si>
    <t>OI-02 (S4, S5, S6)</t>
  </si>
  <si>
    <t>A slot is one ambulance for one 12-hour shift (day or night).</t>
  </si>
  <si>
    <t>OI-18, BR-DOC-09 (S4, S5)</t>
  </si>
  <si>
    <t>Availability can be entered, edited and viewed up to five weeks ahead.</t>
  </si>
  <si>
    <t>OI-01, BR-DOC-16 (S5)</t>
  </si>
  <si>
    <t>Availability is due each Wednesday, planning starts Thursday and the allocation is published on Monday.</t>
  </si>
  <si>
    <t>BR-DOC-01-03</t>
  </si>
  <si>
    <t>Pending validation (cut-off time, week covered)</t>
  </si>
  <si>
    <t>BR-07</t>
  </si>
  <si>
    <t>Late availability is accepted at the manager's discretion and flagged as late.</t>
  </si>
  <si>
    <t>BR-DOC-04, OI-13 (S6, S2)</t>
  </si>
  <si>
    <t>BR-08</t>
  </si>
  <si>
    <t>Job preferences are advisory and never override coverage, qualification, availability or rest rules.</t>
  </si>
  <si>
    <t>OI-10 (S6)</t>
  </si>
  <si>
    <t>BR-09</t>
  </si>
  <si>
    <t>A roster can be published only if at least six ambulances are fully staffed in every shift.</t>
  </si>
  <si>
    <t>BR-DOC-08, OI-16 (S5, S6)</t>
  </si>
  <si>
    <t>BR-10</t>
  </si>
  <si>
    <t>Every staff member must have at least 12 hours of rest between shifts; there is no override.</t>
  </si>
  <si>
    <t>BR-DOC-10, OI-17 (S5, S6)</t>
  </si>
  <si>
    <t>BR-11</t>
  </si>
  <si>
    <t>Off-duty staff are on standby; standby that is not activated counts as rest, not workload.</t>
  </si>
  <si>
    <t>BR-DOC-14, OI-21 (S5)</t>
  </si>
  <si>
    <t>Utilisation is calculated from scheduled roster data only; actual call-time utilisation is out of scope.</t>
  </si>
  <si>
    <t>OI-19 (S5, S6)</t>
  </si>
  <si>
    <t>BR-13</t>
  </si>
  <si>
    <t>Receiving and dispatching emergency calls is outside the system's scope.</t>
  </si>
  <si>
    <t>Business rule (scope)</t>
  </si>
  <si>
    <t>OI-41 (S2, S5, S6)</t>
  </si>
  <si>
    <t>final(still cutting more)</t>
  </si>
  <si>
    <t>The system shall allow the IT administrator to create staff and manager accounts recording full name, staff ID, role qualification(s), contact details and start date, with driver accounts marked care-assistant-qualified by default.</t>
  </si>
  <si>
    <t>Old FR-01, FR-07; OI-15, OI-25 (S3, S6)</t>
  </si>
  <si>
    <t>assume all drivers qualified to be care assistant</t>
  </si>
  <si>
    <t>The system shall allow the IT administrator to suspend or deactivate an account, after which the user cannot log in and does not appear as an assignment candidate, while their records are retained.</t>
  </si>
  <si>
    <t>Old FR-05; OI-25 (S3)</t>
  </si>
  <si>
    <t>may remove</t>
  </si>
  <si>
    <t>Availability for a roster week shall be due by Wednesday. The system shall flag availability submitted or changed after this cut-off as late and notify the manager, who decides case by case whether to use it; such a change shall not alter a published assignment unless the manager amends it.</t>
  </si>
  <si>
    <t>Old FR-10, FR-11; OI-13, OI-14 (S6, S2, questionnaire); BR-DOC-03, BR-DOC-04</t>
  </si>
  <si>
    <t>The system shall allow staff to indicate weekly job preferences for shift type (day/night) and station(s). Preferences shall be shown to the manager during allocation, and the manager may still assign a staff member to a shift that does not match their preferences.</t>
  </si>
  <si>
    <t>Old FR-12; OI-09, OI-10 (S2, S1, S6, questionnaire)</t>
  </si>
  <si>
    <t>The system shall allow a manager to build a weekly roster by assigning staff to roles in slots, where each slot is one ambulance for one 12-hour shift.</t>
  </si>
  <si>
    <t>Old FR-13; OI-02, OI-18 (S4, S5, S6)</t>
  </si>
  <si>
    <t>can merge 6 and 7</t>
  </si>
  <si>
    <t>For each slot, the system shall display the assigned staff and the roles they cover.</t>
  </si>
  <si>
    <t>Old FR-14; OI-18, OI-20 (S4, S5)</t>
  </si>
  <si>
    <t>The system shall prevent assigning a staff member to two slots in the same shift</t>
  </si>
  <si>
    <t>The system shall block publication of a weekly roster unless at least six ambulances are fully staffed in every shift</t>
  </si>
  <si>
    <t>Old FR-26, FR-27; OI-11, OI-12 (S5, S1, S2)</t>
  </si>
  <si>
    <t>For an unfilled role, the system shall list standby candidates who are off duty, qualified, not already assigned in that shift, and would have at least 12 hours of rest.</t>
  </si>
  <si>
    <t>Old FR-28; OI-21, BR-DOC-14 (S5, S6)</t>
  </si>
  <si>
    <t>may be able to combine 18 and 19</t>
  </si>
  <si>
    <t>The system shall show a vacancy as filled only after the selected replacement confirms.</t>
  </si>
  <si>
    <t>Old FR-29; OI-22 (S5, S6)</t>
  </si>
  <si>
    <t>Old FR-31; OI-03, OI-04, OI-05 (S4, S5)</t>
  </si>
  <si>
    <t>The utilisation page shall show scheduled utilisation for each ambulance and for the fleet, counting at most 11 in-service hours per 12-hour shift, and shall list slots requiring manpower with the missing role and number.</t>
  </si>
  <si>
    <t>Old FR-33; OI-19, OI-20 (S4, S5, S6); BR-DOC-13</t>
  </si>
  <si>
    <t>The staff landing page shall show the staff member's own assignments for the current week, with date, shift, ambulance, station, role and crew, and their total assigned hours for the calendar month.</t>
  </si>
  <si>
    <t>Before publication, the system shall display a validation summary listing any blocking issues and advisory warnings, each linked to the affected slot.</t>
  </si>
  <si>
    <t>Old FR-20; SR-02 (S6)</t>
  </si>
  <si>
    <t>Old FR-32; OI-04 (S4, S5)</t>
  </si>
  <si>
    <t>The system shall allow a manager to add, edit and remove ambulance records, and to mark an ambulance unavailable for a date range; unavailable ambulances shall not be offered as assignable slots</t>
  </si>
  <si>
    <t>The system shall record the role(s) each staff member covers in each assignment.</t>
  </si>
  <si>
    <t>Old FR-37; SR-05, OI-15 (S3, S1, questionnaire)</t>
  </si>
  <si>
    <t>Old NFR-03; OI-31</t>
  </si>
  <si>
    <t>Initial requirement, refined: IR-02</t>
  </si>
  <si>
    <t>Staff shall be able to view only their own assignments, workload and availability, and IT administrators shall have no routine access to operational data.</t>
  </si>
  <si>
    <t>Staff location data shall be viewable only by managers, and only for dates within the five-week planning window.</t>
  </si>
  <si>
    <t>Old NFR-06; OI-08 (S3, questionnaire)</t>
  </si>
  <si>
    <t>The system shall log every account change, assignment, roster change (previous value, new value, user, time, reason), rejection and availability change, and retain these logs for at least one year.</t>
  </si>
  <si>
    <t>A staff member shall be able to see all of their assigned shifts for the month on a single screen, without viewing the full team roster.</t>
  </si>
  <si>
    <t>The system shall be available during [operating hours], with no more than [X] of unplanned downtime per [period], and data shall be backed up at least [frequency].</t>
  </si>
  <si>
    <t>Old NFR-08; OI-32, OI-34</t>
  </si>
  <si>
    <t>FINAL</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</si>
</sst>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d mmm yyyy"/>
  </numFmts>
  <fonts count="14">
    <font>
      <sz val="10.0"/>
      <color rgb="FF000000"/>
      <name val="Arial"/>
      <scheme val="minor"/>
    </font>
    <font>
      <b/>
      <sz val="15.0"/>
      <color rgb="FFFFFFFF"/>
      <name val="Arial"/>
    </font>
    <font/>
    <font>
      <b/>
      <sz val="10.0"/>
      <color rgb="FFFFFFFF"/>
      <name val="Arial"/>
    </font>
    <font>
      <sz val="11.0"/>
      <color rgb="FF000000"/>
      <name val="Arial"/>
    </font>
    <font>
      <b/>
      <sz val="10.0"/>
      <color theme="1"/>
      <name val="Arial"/>
    </font>
    <font>
      <sz val="10.0"/>
      <color theme="1"/>
      <name val="Arial"/>
    </font>
    <font>
      <i/>
      <sz val="11.0"/>
      <color rgb="FF333F51"/>
      <name val="Arial"/>
    </font>
    <font>
      <sz val="10.0"/>
      <color rgb="FF000000"/>
      <name val="Arial"/>
    </font>
    <font>
      <b/>
      <sz val="11.0"/>
      <color rgb="FFFFFFFF"/>
      <name val="Arial"/>
    </font>
    <font>
      <b/>
      <sz val="11.0"/>
      <color theme="1"/>
      <name val="Arial"/>
    </font>
    <font>
      <color theme="1"/>
      <name val="Arial"/>
      <scheme val="minor"/>
    </font>
    <font>
      <b/>
      <sz val="11.0"/>
      <color rgb="FF000000"/>
      <name val="Arial"/>
    </font>
    <font>
      <color rgb="FF000000"/>
      <name val="Arial"/>
    </font>
  </fonts>
  <fills count="11">
    <fill>
      <patternFill patternType="none"/>
    </fill>
    <fill>
      <patternFill patternType="lightGray"/>
    </fill>
    <fill>
      <patternFill patternType="solid">
        <fgColor rgb="FF132C4F"/>
        <bgColor rgb="FF132C4F"/>
      </patternFill>
    </fill>
    <fill>
      <patternFill patternType="solid">
        <fgColor rgb="FF1E598C"/>
        <bgColor rgb="FF1E598C"/>
      </patternFill>
    </fill>
    <fill>
      <patternFill patternType="solid">
        <fgColor rgb="FFE2EDF7"/>
        <bgColor rgb="FFE2EDF7"/>
      </patternFill>
    </fill>
    <fill>
      <patternFill patternType="solid">
        <fgColor rgb="FFFFF2CC"/>
        <bgColor rgb="FFFFF2CC"/>
      </patternFill>
    </fill>
    <fill>
      <patternFill patternType="solid">
        <fgColor rgb="FFDDEBF7"/>
        <bgColor rgb="FFDDEBF7"/>
      </patternFill>
    </fill>
    <fill>
      <patternFill patternType="solid">
        <fgColor rgb="FFE2EFDA"/>
        <bgColor rgb="FFE2EFDA"/>
      </patternFill>
    </fill>
    <fill>
      <patternFill patternType="solid">
        <fgColor rgb="FFE8F2F9"/>
        <bgColor rgb="FFE8F2F9"/>
      </patternFill>
    </fill>
    <fill>
      <patternFill patternType="solid">
        <fgColor rgb="FF1F4E78"/>
        <bgColor rgb="FF1F4E78"/>
      </patternFill>
    </fill>
    <fill>
      <patternFill patternType="solid">
        <fgColor rgb="FFF4CCCC"/>
        <bgColor rgb="FFF4CCCC"/>
      </patternFill>
    </fill>
  </fills>
  <borders count="23">
    <border/>
    <border>
      <left/>
      <top/>
      <bottom/>
    </border>
    <border>
      <top/>
      <bottom/>
    </border>
    <border>
      <right/>
      <top/>
      <bottom/>
    </border>
    <border>
      <left/>
      <right/>
      <top/>
      <bottom/>
    </border>
    <border>
      <left style="thin">
        <color rgb="FFBFC6D1"/>
      </left>
      <right style="thin">
        <color rgb="FFE0E5EA"/>
      </right>
      <top style="thin">
        <color rgb="FFBFC6D1"/>
      </top>
      <bottom style="thin">
        <color rgb="FFE0E5EA"/>
      </bottom>
    </border>
    <border>
      <left style="thin">
        <color rgb="FFE0E5EA"/>
      </left>
      <right style="thin">
        <color rgb="FFE0E5EA"/>
      </right>
      <top style="thin">
        <color rgb="FFBFC6D1"/>
      </top>
      <bottom style="thin">
        <color rgb="FFE0E5EA"/>
      </bottom>
    </border>
    <border>
      <left style="thin">
        <color rgb="FFE0E5EA"/>
      </left>
      <right style="thin">
        <color rgb="FFBFC6D1"/>
      </right>
      <top style="thin">
        <color rgb="FFBFC6D1"/>
      </top>
      <bottom style="thin">
        <color rgb="FFE0E5EA"/>
      </bottom>
    </border>
    <border>
      <left style="thin">
        <color rgb="FFBFC6D1"/>
      </left>
      <right style="thin">
        <color rgb="FFE0E5EA"/>
      </right>
      <top style="thin">
        <color rgb="FFE0E5EA"/>
      </top>
      <bottom style="thin">
        <color rgb="FFE0E5EA"/>
      </bottom>
    </border>
    <border>
      <left style="thin">
        <color rgb="FFE0E5EA"/>
      </left>
      <right style="thin">
        <color rgb="FFE0E5EA"/>
      </right>
      <top style="thin">
        <color rgb="FFE0E5EA"/>
      </top>
      <bottom style="thin">
        <color rgb="FFE0E5EA"/>
      </bottom>
    </border>
    <border>
      <left style="thin">
        <color rgb="FFE0E5EA"/>
      </left>
      <right style="thin">
        <color rgb="FFBFC6D1"/>
      </right>
      <top style="thin">
        <color rgb="FFE0E5EA"/>
      </top>
      <bottom style="thin">
        <color rgb="FFE0E5EA"/>
      </bottom>
    </border>
    <border>
      <left style="thin">
        <color rgb="FFE0E5EA"/>
      </left>
      <right style="thin">
        <color rgb="FFE0E5EA"/>
      </right>
      <top style="thin">
        <color rgb="FFE0E5EA"/>
      </top>
      <bottom style="thin">
        <color rgb="FFBFC6D1"/>
      </bottom>
    </border>
    <border>
      <left style="thin">
        <color rgb="FFBFC6D1"/>
      </left>
      <right style="thin">
        <color rgb="FFE0E5EA"/>
      </right>
      <top style="thin">
        <color rgb="FFE0E5EA"/>
      </top>
      <bottom style="thin">
        <color rgb="FFBFC6D1"/>
      </bottom>
    </border>
    <border>
      <left style="thin">
        <color rgb="FFE0E5EA"/>
      </left>
      <right style="thin">
        <color rgb="FFBFC6D1"/>
      </right>
      <top style="thin">
        <color rgb="FFE0E5EA"/>
      </top>
      <bottom style="thin">
        <color rgb="FFBFC6D1"/>
      </bottom>
    </border>
    <border>
      <left style="thin">
        <color rgb="FFBFC6D1"/>
      </left>
      <right style="thin">
        <color rgb="FFE0E5EA"/>
      </right>
      <top style="thin">
        <color rgb="FFBFC6D1"/>
      </top>
    </border>
    <border>
      <left style="thin">
        <color rgb="FFBFC6D1"/>
      </left>
      <top style="thin">
        <color rgb="FFBFC6D1"/>
      </top>
      <bottom style="thin">
        <color rgb="FFE0E5EA"/>
      </bottom>
    </border>
    <border>
      <top style="thin">
        <color rgb="FFBFC6D1"/>
      </top>
      <bottom style="thin">
        <color rgb="FFE0E5EA"/>
      </bottom>
    </border>
    <border>
      <right style="thin">
        <color rgb="FFE0E5EA"/>
      </right>
      <top style="thin">
        <color rgb="FFBFC6D1"/>
      </top>
      <bottom style="thin">
        <color rgb="FFE0E5EA"/>
      </bottom>
    </border>
    <border>
      <left style="thin">
        <color rgb="FF000000"/>
      </left>
      <right style="thin">
        <color rgb="FF000000"/>
      </right>
      <top style="thin">
        <color rgb="FF000000"/>
      </top>
      <bottom style="thin">
        <color rgb="FF000000"/>
      </bottom>
    </border>
    <border>
      <left style="thin">
        <color rgb="FFE0E5EA"/>
      </left>
      <top style="thin">
        <color rgb="FFE0E5EA"/>
      </top>
      <bottom style="thin">
        <color rgb="FFE0E5EA"/>
      </bottom>
    </border>
    <border>
      <top style="thin">
        <color rgb="FFE0E5EA"/>
      </top>
      <bottom style="thin">
        <color rgb="FFE0E5EA"/>
      </bottom>
    </border>
    <border>
      <right style="thin">
        <color rgb="FFE0E5EA"/>
      </right>
      <top style="thin">
        <color rgb="FFE0E5EA"/>
      </top>
      <bottom style="thin">
        <color rgb="FFE0E5EA"/>
      </bottom>
    </border>
    <border>
      <left style="thin">
        <color rgb="FFBFC6D1"/>
      </left>
      <right style="thin">
        <color rgb="FFE0E5EA"/>
      </right>
      <bottom style="thin">
        <color rgb="FFE0E5EA"/>
      </bottom>
    </border>
  </borders>
  <cellStyleXfs count="1">
    <xf borderId="0" fillId="0" fontId="0" numFmtId="0" applyAlignment="1" applyFont="1"/>
  </cellStyleXfs>
  <cellXfs count="69">
    <xf borderId="0" fillId="0" fontId="0" numFmtId="0" xfId="0" applyAlignment="1" applyFont="1">
      <alignment readingOrder="0" shrinkToFit="0" vertical="bottom" wrapText="0"/>
    </xf>
    <xf borderId="1" fillId="2" fontId="1" numFmtId="0" xfId="0" applyAlignment="1" applyBorder="1" applyFill="1" applyFont="1">
      <alignment horizontal="left" shrinkToFit="0" vertical="center" wrapText="0"/>
    </xf>
    <xf borderId="2" fillId="0" fontId="2" numFmtId="0" xfId="0" applyBorder="1" applyFont="1"/>
    <xf borderId="3" fillId="0" fontId="2" numFmtId="0" xfId="0" applyBorder="1" applyFont="1"/>
    <xf borderId="4" fillId="3" fontId="3" numFmtId="0" xfId="0" applyAlignment="1" applyBorder="1" applyFill="1" applyFont="1">
      <alignment shrinkToFit="0" vertical="bottom" wrapText="0"/>
    </xf>
    <xf borderId="0" fillId="0" fontId="4" numFmtId="0" xfId="0" applyAlignment="1" applyFont="1">
      <alignment shrinkToFit="0" vertical="bottom" wrapText="0"/>
    </xf>
    <xf borderId="0" fillId="0" fontId="5" numFmtId="0" xfId="0" applyAlignment="1" applyFont="1">
      <alignment shrinkToFit="0" vertical="top" wrapText="1"/>
    </xf>
    <xf borderId="0" fillId="0" fontId="6" numFmtId="0" xfId="0" applyAlignment="1" applyFont="1">
      <alignment shrinkToFit="0" vertical="top" wrapText="1"/>
    </xf>
    <xf borderId="1" fillId="4" fontId="7" numFmtId="0" xfId="0" applyAlignment="1" applyBorder="1" applyFill="1" applyFont="1">
      <alignment shrinkToFit="0" vertical="center" wrapText="1"/>
    </xf>
    <xf borderId="4" fillId="5" fontId="8" numFmtId="0" xfId="0" applyAlignment="1" applyBorder="1" applyFill="1" applyFont="1">
      <alignment shrinkToFit="0" vertical="bottom" wrapText="0"/>
    </xf>
    <xf borderId="5" fillId="3" fontId="9" numFmtId="0" xfId="0" applyAlignment="1" applyBorder="1" applyFill="1" applyFont="1">
      <alignment horizontal="center" shrinkToFit="0" vertical="center" wrapText="1"/>
    </xf>
    <xf borderId="6" fillId="3" fontId="9" numFmtId="0" xfId="0" applyAlignment="1" applyBorder="1" applyFill="1" applyFont="1">
      <alignment horizontal="center" shrinkToFit="0" vertical="center" wrapText="1"/>
    </xf>
    <xf borderId="4" fillId="6" fontId="8" numFmtId="0" xfId="0" applyAlignment="1" applyBorder="1" applyFill="1" applyFont="1">
      <alignment shrinkToFit="0" vertical="bottom" wrapText="0"/>
    </xf>
    <xf borderId="4" fillId="7" fontId="8" numFmtId="0" xfId="0" applyAlignment="1" applyBorder="1" applyFill="1" applyFont="1">
      <alignment shrinkToFit="0" vertical="bottom" wrapText="0"/>
    </xf>
    <xf borderId="7" fillId="3" fontId="9" numFmtId="0" xfId="0" applyAlignment="1" applyBorder="1" applyFill="1" applyFont="1">
      <alignment horizontal="center" shrinkToFit="0" vertical="center" wrapText="1"/>
    </xf>
    <xf borderId="8" fillId="8" fontId="10" numFmtId="0" xfId="0" applyAlignment="1" applyBorder="1" applyFill="1" applyFont="1">
      <alignment horizontal="center" shrinkToFit="0" vertical="bottom" wrapText="0"/>
    </xf>
    <xf borderId="4" fillId="9" fontId="9" numFmtId="0" xfId="0" applyAlignment="1" applyBorder="1" applyFill="1" applyFont="1">
      <alignment horizontal="center" shrinkToFit="0" vertical="bottom" wrapText="0"/>
    </xf>
    <xf borderId="9" fillId="0" fontId="6" numFmtId="0" xfId="0" applyAlignment="1" applyBorder="1" applyFont="1">
      <alignment shrinkToFit="0" vertical="top" wrapText="1"/>
    </xf>
    <xf borderId="9" fillId="5" fontId="6" numFmtId="0" xfId="0" applyAlignment="1" applyBorder="1" applyFill="1" applyFont="1">
      <alignment shrinkToFit="0" vertical="top" wrapText="1"/>
    </xf>
    <xf borderId="10" fillId="5" fontId="6" numFmtId="0" xfId="0" applyAlignment="1" applyBorder="1" applyFill="1" applyFont="1">
      <alignment shrinkToFit="0" vertical="top" wrapText="1"/>
    </xf>
    <xf borderId="0" fillId="0" fontId="4" numFmtId="0" xfId="0" applyAlignment="1" applyFont="1">
      <alignment shrinkToFit="0" vertical="top" wrapText="0"/>
    </xf>
    <xf borderId="9" fillId="5" fontId="6" numFmtId="0" xfId="0" applyAlignment="1" applyBorder="1" applyFill="1" applyFont="1">
      <alignment readingOrder="0" shrinkToFit="0" vertical="top" wrapText="1"/>
    </xf>
    <xf borderId="10" fillId="5" fontId="6" numFmtId="0" xfId="0" applyAlignment="1" applyBorder="1" applyFill="1" applyFont="1">
      <alignment readingOrder="0" shrinkToFit="0" vertical="top" wrapText="1"/>
    </xf>
    <xf borderId="11" fillId="0" fontId="6" numFmtId="0" xfId="0" applyAlignment="1" applyBorder="1" applyFont="1">
      <alignment shrinkToFit="0" vertical="top" wrapText="1"/>
    </xf>
    <xf borderId="11" fillId="5" fontId="6" numFmtId="0" xfId="0" applyAlignment="1" applyBorder="1" applyFill="1" applyFont="1">
      <alignment shrinkToFit="0" vertical="top" wrapText="1"/>
    </xf>
    <xf borderId="13" fillId="5" fontId="6" numFmtId="0" xfId="0" applyAlignment="1" applyBorder="1" applyFill="1" applyFont="1">
      <alignment shrinkToFit="0" vertical="top" wrapText="1"/>
    </xf>
    <xf borderId="12" fillId="8" fontId="10" numFmtId="0" xfId="0" applyAlignment="1" applyBorder="1" applyFill="1" applyFont="1">
      <alignment horizontal="center" shrinkToFit="0" vertical="bottom" wrapText="0"/>
    </xf>
    <xf borderId="0" fillId="0" fontId="6" numFmtId="0" xfId="0" applyAlignment="1" applyFont="1">
      <alignment readingOrder="0" shrinkToFit="0" vertical="top" wrapText="1"/>
    </xf>
    <xf borderId="0" fillId="5" fontId="6" numFmtId="0" xfId="0" applyAlignment="1" applyFill="1" applyFont="1">
      <alignment readingOrder="0" shrinkToFit="0" vertical="top" wrapText="1"/>
    </xf>
    <xf borderId="8" fillId="8" fontId="10" numFmtId="0" xfId="0" applyAlignment="1" applyBorder="1" applyFill="1" applyFont="1">
      <alignment horizontal="center" readingOrder="0" shrinkToFit="0" vertical="bottom" wrapText="1"/>
    </xf>
    <xf borderId="9" fillId="0" fontId="6" numFmtId="0" xfId="0" applyAlignment="1" applyBorder="1" applyFont="1">
      <alignment readingOrder="0" shrinkToFit="0" vertical="top" wrapText="1"/>
    </xf>
    <xf borderId="4" fillId="8" fontId="10" numFmtId="0" xfId="0" applyAlignment="1" applyBorder="1" applyFill="1" applyFont="1">
      <alignment horizontal="center" shrinkToFit="0" vertical="bottom" wrapText="0"/>
    </xf>
    <xf borderId="4" fillId="5" fontId="6" numFmtId="0" xfId="0" applyAlignment="1" applyBorder="1" applyFill="1" applyFont="1">
      <alignment shrinkToFit="0" vertical="top" wrapText="1"/>
    </xf>
    <xf borderId="4" fillId="5" fontId="6" numFmtId="0" xfId="0" applyAlignment="1" applyBorder="1" applyFill="1" applyFont="1">
      <alignment readingOrder="0" shrinkToFit="0" vertical="top" wrapText="1"/>
    </xf>
    <xf borderId="4" fillId="5" fontId="10" numFmtId="0" xfId="0" applyAlignment="1" applyBorder="1" applyFill="1" applyFont="1">
      <alignment horizontal="center" shrinkToFit="0" vertical="bottom" wrapText="0"/>
    </xf>
    <xf borderId="4" fillId="5" fontId="4" numFmtId="0" xfId="0" applyAlignment="1" applyBorder="1" applyFill="1" applyFont="1">
      <alignment shrinkToFit="0" vertical="top" wrapText="0"/>
    </xf>
    <xf borderId="4" fillId="8" fontId="10" numFmtId="0" xfId="0" applyAlignment="1" applyBorder="1" applyFill="1" applyFont="1">
      <alignment horizontal="center" readingOrder="0" shrinkToFit="0" vertical="bottom" wrapText="0"/>
    </xf>
    <xf borderId="0" fillId="0" fontId="11" numFmtId="0" xfId="0" applyAlignment="1" applyFont="1">
      <alignment readingOrder="0"/>
    </xf>
    <xf borderId="9" fillId="0" fontId="6" numFmtId="164" xfId="0" applyAlignment="1" applyBorder="1" applyFont="1" applyNumberFormat="1">
      <alignment readingOrder="0" shrinkToFit="0" vertical="top" wrapText="1"/>
    </xf>
    <xf borderId="9" fillId="0" fontId="6" numFmtId="164" xfId="0" applyAlignment="1" applyBorder="1" applyFont="1" applyNumberFormat="1">
      <alignment horizontal="left" readingOrder="0" shrinkToFit="0" vertical="top" wrapText="1"/>
    </xf>
    <xf borderId="8" fillId="6" fontId="10" numFmtId="0" xfId="0" applyAlignment="1" applyBorder="1" applyFill="1" applyFont="1">
      <alignment horizontal="center" shrinkToFit="0" vertical="bottom" wrapText="0"/>
    </xf>
    <xf borderId="9" fillId="6" fontId="6" numFmtId="0" xfId="0" applyAlignment="1" applyBorder="1" applyFill="1" applyFont="1">
      <alignment shrinkToFit="0" vertical="top" wrapText="1"/>
    </xf>
    <xf borderId="14" fillId="3" fontId="9" numFmtId="0" xfId="0" applyAlignment="1" applyBorder="1" applyFill="1" applyFont="1">
      <alignment horizontal="center" readingOrder="0" shrinkToFit="0" vertical="center" wrapText="1"/>
    </xf>
    <xf borderId="8" fillId="10" fontId="10" numFmtId="0" xfId="0" applyAlignment="1" applyBorder="1" applyFill="1" applyFont="1">
      <alignment horizontal="center" shrinkToFit="0" vertical="bottom" wrapText="0"/>
    </xf>
    <xf borderId="15" fillId="3" fontId="9" numFmtId="0" xfId="0" applyAlignment="1" applyBorder="1" applyFill="1" applyFont="1">
      <alignment horizontal="center" shrinkToFit="0" vertical="center" wrapText="1"/>
    </xf>
    <xf borderId="16" fillId="0" fontId="2" numFmtId="0" xfId="0" applyBorder="1" applyFont="1"/>
    <xf borderId="17" fillId="0" fontId="2" numFmtId="0" xfId="0" applyBorder="1" applyFont="1"/>
    <xf borderId="18" fillId="6" fontId="12" numFmtId="0" xfId="0" applyAlignment="1" applyBorder="1" applyFill="1" applyFont="1">
      <alignment horizontal="center" readingOrder="0" shrinkToFit="0" vertical="top" wrapText="1"/>
    </xf>
    <xf borderId="8" fillId="7" fontId="10" numFmtId="0" xfId="0" applyAlignment="1" applyBorder="1" applyFill="1" applyFont="1">
      <alignment horizontal="center" shrinkToFit="0" vertical="bottom" wrapText="0"/>
    </xf>
    <xf borderId="19" fillId="0" fontId="6" numFmtId="0" xfId="0" applyAlignment="1" applyBorder="1" applyFont="1">
      <alignment shrinkToFit="0" vertical="top" wrapText="1"/>
    </xf>
    <xf borderId="20" fillId="0" fontId="2" numFmtId="0" xfId="0" applyBorder="1" applyFont="1"/>
    <xf borderId="18" fillId="6" fontId="4" numFmtId="0" xfId="0" applyAlignment="1" applyBorder="1" applyFill="1" applyFont="1">
      <alignment readingOrder="0" shrinkToFit="0" vertical="top" wrapText="1"/>
    </xf>
    <xf borderId="21" fillId="0" fontId="2" numFmtId="0" xfId="0" applyBorder="1" applyFont="1"/>
    <xf borderId="9" fillId="7" fontId="6" numFmtId="0" xfId="0" applyAlignment="1" applyBorder="1" applyFill="1" applyFont="1">
      <alignment shrinkToFit="0" vertical="top" wrapText="1"/>
    </xf>
    <xf borderId="9" fillId="0" fontId="6" numFmtId="1" xfId="0" applyAlignment="1" applyBorder="1" applyFont="1" applyNumberFormat="1">
      <alignment horizontal="center" shrinkToFit="0" vertical="top" wrapText="0"/>
    </xf>
    <xf borderId="18" fillId="7" fontId="12" numFmtId="0" xfId="0" applyAlignment="1" applyBorder="1" applyFill="1" applyFont="1">
      <alignment horizontal="center" readingOrder="0" shrinkToFit="0" vertical="top" wrapText="1"/>
    </xf>
    <xf borderId="18" fillId="7" fontId="4" numFmtId="0" xfId="0" applyAlignment="1" applyBorder="1" applyFill="1" applyFont="1">
      <alignment readingOrder="0" shrinkToFit="0" vertical="top" wrapText="1"/>
    </xf>
    <xf borderId="8" fillId="7" fontId="10" numFmtId="0" xfId="0" applyAlignment="1" applyBorder="1" applyFill="1" applyFont="1">
      <alignment horizontal="center" readingOrder="0" shrinkToFit="0" vertical="bottom" wrapText="0"/>
    </xf>
    <xf borderId="8" fillId="6" fontId="10" numFmtId="0" xfId="0" applyAlignment="1" applyBorder="1" applyFill="1" applyFont="1">
      <alignment horizontal="center" readingOrder="0" shrinkToFit="0" vertical="bottom" wrapText="0"/>
    </xf>
    <xf borderId="9" fillId="6" fontId="6" numFmtId="0" xfId="0" applyAlignment="1" applyBorder="1" applyFill="1" applyFont="1">
      <alignment readingOrder="0" shrinkToFit="0" vertical="top" wrapText="1"/>
    </xf>
    <xf borderId="9" fillId="0" fontId="6" numFmtId="2" xfId="0" applyAlignment="1" applyBorder="1" applyFont="1" applyNumberFormat="1">
      <alignment horizontal="center" shrinkToFit="0" vertical="top" wrapText="0"/>
    </xf>
    <xf borderId="8" fillId="6" fontId="12" numFmtId="0" xfId="0" applyAlignment="1" applyBorder="1" applyFill="1" applyFont="1">
      <alignment horizontal="center" readingOrder="0" shrinkToFit="0" vertical="bottom" wrapText="0"/>
    </xf>
    <xf borderId="9" fillId="6" fontId="13" numFmtId="0" xfId="0" applyAlignment="1" applyBorder="1" applyFill="1" applyFont="1">
      <alignment readingOrder="0" vertical="top"/>
    </xf>
    <xf borderId="22" fillId="6" fontId="12" numFmtId="0" xfId="0" applyAlignment="1" applyBorder="1" applyFill="1" applyFont="1">
      <alignment horizontal="center" readingOrder="0" shrinkToFit="0" vertical="bottom" wrapText="0"/>
    </xf>
    <xf borderId="22" fillId="7" fontId="12" numFmtId="0" xfId="0" applyAlignment="1" applyBorder="1" applyFill="1" applyFont="1">
      <alignment horizontal="center" readingOrder="0" shrinkToFit="0" vertical="bottom" wrapText="0"/>
    </xf>
    <xf borderId="9" fillId="7" fontId="13" numFmtId="0" xfId="0" applyAlignment="1" applyBorder="1" applyFill="1" applyFont="1">
      <alignment readingOrder="0" vertical="top"/>
    </xf>
    <xf borderId="14" fillId="3" fontId="9" numFmtId="0" xfId="0" applyAlignment="1" applyBorder="1" applyFill="1" applyFont="1">
      <alignment horizontal="center" readingOrder="0"/>
    </xf>
    <xf borderId="18" fillId="6" fontId="12" numFmtId="0" xfId="0" applyAlignment="1" applyBorder="1" applyFill="1" applyFont="1">
      <alignment horizontal="center" readingOrder="0" shrinkToFit="0" vertical="bottom" wrapText="1"/>
    </xf>
    <xf borderId="18" fillId="7" fontId="12" numFmtId="0" xfId="0" applyAlignment="1" applyBorder="1" applyFill="1" applyFont="1">
      <alignment horizontal="center" readingOrder="0" shrinkToFit="0" vertical="bottom" wrapText="1"/>
    </xf>
  </cellXfs>
  <cellStyles count="1">
    <cellStyle xfId="0" name="Normal" builtinId="0"/>
  </cellStyles>
  <dxfs count="4">
    <dxf>
      <font>
        <b/>
      </font>
      <fill>
        <patternFill patternType="solid">
          <fgColor rgb="FFDBDBDB"/>
          <bgColor rgb="FFDBDBDB"/>
        </patternFill>
      </fill>
      <border/>
    </dxf>
    <dxf>
      <font>
        <b/>
      </font>
      <fill>
        <patternFill patternType="solid">
          <fgColor rgb="FFC6E8C9"/>
          <bgColor rgb="FFC6E8C9"/>
        </patternFill>
      </fill>
      <border/>
    </dxf>
    <dxf>
      <font>
        <b/>
      </font>
      <fill>
        <patternFill patternType="solid">
          <fgColor rgb="FFFFEAB2"/>
          <bgColor rgb="FFFFEAB2"/>
        </patternFill>
      </fill>
      <border/>
    </dxf>
    <dxf>
      <font>
        <b/>
      </font>
      <fill>
        <patternFill patternType="solid">
          <fgColor rgb="FFF4CCCC"/>
          <bgColor rgb="FFF4CCCC"/>
        </patternFill>
      </fill>
      <border/>
    </dxf>
  </dxfs>
</styleSheet>
</file>

<file path=xl/_rels/workbook.xml.rels><?xml version="1.0" encoding="UTF-8" standalone="yes"?><Relationships xmlns="http://schemas.openxmlformats.org/package/2006/relationships"><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14" Type="http://schemas.openxmlformats.org/officeDocument/2006/relationships/worksheet" Target="worksheets/sheet10.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10.0"/>
    <col customWidth="1" min="2" max="2" width="22.0"/>
    <col customWidth="1" min="3" max="3" width="95.0"/>
    <col customWidth="1" min="4" max="26" width="8.63"/>
  </cols>
  <sheetData>
    <row r="1" ht="25.5" customHeight="1">
      <c r="A1" s="1" t="s">
        <v>0</v>
      </c>
      <c r="B1" s="2"/>
      <c r="C1" s="3"/>
    </row>
    <row r="2">
      <c r="A2" s="4" t="s">
        <v>4</v>
      </c>
      <c r="B2" s="4" t="s">
        <v>6</v>
      </c>
      <c r="C2" s="4" t="s">
        <v>7</v>
      </c>
    </row>
    <row r="3">
      <c r="B3" s="6" t="s">
        <v>8</v>
      </c>
      <c r="C3" s="7" t="s">
        <v>9</v>
      </c>
    </row>
    <row r="4">
      <c r="A4" s="9"/>
      <c r="B4" s="6" t="s">
        <v>8</v>
      </c>
      <c r="C4" s="7" t="s">
        <v>13</v>
      </c>
    </row>
    <row r="5">
      <c r="B5" s="6" t="s">
        <v>14</v>
      </c>
      <c r="C5" s="7" t="s">
        <v>15</v>
      </c>
    </row>
    <row r="6">
      <c r="A6" s="12"/>
      <c r="B6" s="6" t="s">
        <v>21</v>
      </c>
      <c r="C6" s="7" t="s">
        <v>26</v>
      </c>
    </row>
    <row r="7">
      <c r="A7" s="13"/>
      <c r="B7" s="6" t="s">
        <v>21</v>
      </c>
      <c r="C7" s="7" t="s">
        <v>35</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A1:C1"/>
  </mergeCells>
  <printOptions/>
  <pageMargins bottom="1.0" footer="0.0" header="0.0" left="0.75" right="0.75" top="1.0"/>
  <pageSetup paperSize="9" orientation="portrait"/>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3.0" topLeftCell="A4" activePane="bottomLeft" state="frozen"/>
      <selection activeCell="B5" sqref="B5" pane="bottomLeft"/>
    </sheetView>
  </sheetViews>
  <sheetFormatPr customHeight="1" defaultColWidth="12.63" defaultRowHeight="15.0"/>
  <cols>
    <col customWidth="1" min="1" max="1" width="10.75"/>
    <col customWidth="1" min="2" max="2" width="45.13"/>
    <col customWidth="1" min="3" max="3" width="41.38"/>
    <col customWidth="1" min="4" max="4" width="43.88"/>
    <col customWidth="1" min="5" max="5" width="22.63"/>
    <col customWidth="1" min="6" max="6" width="27.63"/>
    <col customWidth="1" min="7" max="7" width="37.63"/>
    <col customWidth="1" min="8" max="8" width="22.63"/>
    <col customWidth="1" min="9" max="9" width="14.5"/>
    <col customWidth="1" min="10" max="10" width="22.63"/>
  </cols>
  <sheetData>
    <row r="1" ht="25.5" customHeight="1">
      <c r="A1" s="1" t="s">
        <v>1</v>
      </c>
      <c r="B1" s="2"/>
      <c r="C1" s="2"/>
      <c r="D1" s="2"/>
      <c r="E1" s="2"/>
      <c r="F1" s="2"/>
      <c r="G1" s="2"/>
      <c r="H1" s="2"/>
      <c r="I1" s="2"/>
      <c r="J1" s="3"/>
    </row>
    <row r="2" ht="31.5" customHeight="1">
      <c r="A2" s="8" t="s">
        <v>11</v>
      </c>
      <c r="B2" s="2"/>
      <c r="C2" s="2"/>
      <c r="D2" s="2"/>
      <c r="E2" s="2"/>
      <c r="F2" s="2"/>
      <c r="G2" s="2"/>
      <c r="H2" s="2"/>
      <c r="I2" s="2"/>
      <c r="J2" s="3"/>
    </row>
    <row r="3" ht="39.0" customHeight="1">
      <c r="A3" s="10" t="s">
        <v>12</v>
      </c>
      <c r="B3" s="11" t="s">
        <v>18</v>
      </c>
      <c r="C3" s="11" t="s">
        <v>24</v>
      </c>
      <c r="D3" s="11" t="s">
        <v>27</v>
      </c>
      <c r="E3" s="11" t="s">
        <v>25</v>
      </c>
      <c r="F3" s="11" t="s">
        <v>28</v>
      </c>
      <c r="G3" s="11" t="s">
        <v>29</v>
      </c>
      <c r="H3" s="11" t="s">
        <v>31</v>
      </c>
      <c r="I3" s="11" t="s">
        <v>33</v>
      </c>
      <c r="J3" s="14" t="s">
        <v>39</v>
      </c>
    </row>
    <row r="4" ht="15.75" customHeight="1">
      <c r="A4" s="15" t="s">
        <v>41</v>
      </c>
      <c r="B4" s="17" t="s">
        <v>42</v>
      </c>
      <c r="C4" s="17" t="s">
        <v>46</v>
      </c>
      <c r="D4" s="17" t="s">
        <v>49</v>
      </c>
      <c r="E4" s="17" t="s">
        <v>51</v>
      </c>
      <c r="F4" s="17" t="s">
        <v>53</v>
      </c>
      <c r="G4" s="18" t="s">
        <v>57</v>
      </c>
      <c r="H4" s="18" t="s">
        <v>59</v>
      </c>
      <c r="I4" s="18" t="s">
        <v>61</v>
      </c>
      <c r="J4" s="19" t="s">
        <v>64</v>
      </c>
    </row>
    <row r="5" ht="15.75" customHeight="1">
      <c r="A5" s="15" t="s">
        <v>66</v>
      </c>
      <c r="B5" s="17" t="s">
        <v>69</v>
      </c>
      <c r="C5" s="17" t="s">
        <v>71</v>
      </c>
      <c r="D5" s="17" t="s">
        <v>73</v>
      </c>
      <c r="E5" s="17" t="s">
        <v>47</v>
      </c>
      <c r="F5" s="17" t="s">
        <v>75</v>
      </c>
      <c r="G5" s="18" t="s">
        <v>77</v>
      </c>
      <c r="H5" s="18" t="s">
        <v>78</v>
      </c>
      <c r="I5" s="18" t="s">
        <v>61</v>
      </c>
      <c r="J5" s="19" t="s">
        <v>82</v>
      </c>
    </row>
    <row r="6" ht="15.75" customHeight="1">
      <c r="A6" s="15" t="s">
        <v>86</v>
      </c>
      <c r="B6" s="17" t="s">
        <v>87</v>
      </c>
      <c r="C6" s="17" t="s">
        <v>90</v>
      </c>
      <c r="D6" s="17" t="s">
        <v>93</v>
      </c>
      <c r="E6" s="17" t="s">
        <v>47</v>
      </c>
      <c r="F6" s="17" t="s">
        <v>97</v>
      </c>
      <c r="G6" s="18" t="s">
        <v>101</v>
      </c>
      <c r="H6" s="18" t="s">
        <v>103</v>
      </c>
      <c r="I6" s="18" t="s">
        <v>81</v>
      </c>
      <c r="J6" s="19" t="s">
        <v>107</v>
      </c>
    </row>
    <row r="7" ht="15.75" customHeight="1">
      <c r="A7" s="15" t="s">
        <v>110</v>
      </c>
      <c r="B7" s="17" t="s">
        <v>114</v>
      </c>
      <c r="C7" s="17" t="s">
        <v>119</v>
      </c>
      <c r="D7" s="17" t="s">
        <v>123</v>
      </c>
      <c r="E7" s="17" t="s">
        <v>47</v>
      </c>
      <c r="F7" s="17" t="s">
        <v>125</v>
      </c>
      <c r="G7" s="18" t="s">
        <v>128</v>
      </c>
      <c r="H7" s="18" t="s">
        <v>129</v>
      </c>
      <c r="I7" s="18" t="s">
        <v>81</v>
      </c>
      <c r="J7" s="19" t="s">
        <v>134</v>
      </c>
    </row>
    <row r="8" ht="15.75" customHeight="1">
      <c r="A8" s="15" t="s">
        <v>137</v>
      </c>
      <c r="B8" s="17" t="s">
        <v>139</v>
      </c>
      <c r="C8" s="17" t="s">
        <v>141</v>
      </c>
      <c r="D8" s="17" t="s">
        <v>145</v>
      </c>
      <c r="E8" s="17" t="s">
        <v>147</v>
      </c>
      <c r="F8" s="17" t="s">
        <v>149</v>
      </c>
      <c r="G8" s="18" t="s">
        <v>152</v>
      </c>
      <c r="H8" s="18" t="s">
        <v>153</v>
      </c>
      <c r="I8" s="18" t="s">
        <v>81</v>
      </c>
      <c r="J8" s="19" t="s">
        <v>156</v>
      </c>
    </row>
    <row r="9" ht="15.75" customHeight="1">
      <c r="A9" s="15" t="s">
        <v>158</v>
      </c>
      <c r="B9" s="17" t="s">
        <v>161</v>
      </c>
      <c r="C9" s="17" t="s">
        <v>165</v>
      </c>
      <c r="D9" s="17" t="s">
        <v>167</v>
      </c>
      <c r="E9" s="17" t="s">
        <v>47</v>
      </c>
      <c r="F9" s="17" t="s">
        <v>169</v>
      </c>
      <c r="G9" s="18" t="s">
        <v>172</v>
      </c>
      <c r="H9" s="18" t="s">
        <v>173</v>
      </c>
      <c r="I9" s="18" t="s">
        <v>61</v>
      </c>
      <c r="J9" s="19" t="s">
        <v>178</v>
      </c>
    </row>
    <row r="10" ht="15.75" customHeight="1">
      <c r="A10" s="15" t="s">
        <v>181</v>
      </c>
      <c r="B10" s="17" t="s">
        <v>183</v>
      </c>
      <c r="C10" s="17" t="s">
        <v>186</v>
      </c>
      <c r="D10" s="17" t="s">
        <v>190</v>
      </c>
      <c r="E10" s="17" t="s">
        <v>47</v>
      </c>
      <c r="F10" s="17" t="s">
        <v>193</v>
      </c>
      <c r="G10" s="18" t="s">
        <v>197</v>
      </c>
      <c r="H10" s="18" t="s">
        <v>199</v>
      </c>
      <c r="I10" s="18" t="s">
        <v>81</v>
      </c>
      <c r="J10" s="19" t="s">
        <v>201</v>
      </c>
    </row>
    <row r="11" ht="15.75" customHeight="1">
      <c r="A11" s="15" t="s">
        <v>206</v>
      </c>
      <c r="B11" s="17" t="s">
        <v>208</v>
      </c>
      <c r="C11" s="17" t="s">
        <v>212</v>
      </c>
      <c r="D11" s="17" t="s">
        <v>216</v>
      </c>
      <c r="E11" s="17" t="s">
        <v>219</v>
      </c>
      <c r="F11" s="17" t="s">
        <v>221</v>
      </c>
      <c r="G11" s="18" t="s">
        <v>225</v>
      </c>
      <c r="H11" s="18" t="s">
        <v>227</v>
      </c>
      <c r="I11" s="18" t="s">
        <v>61</v>
      </c>
      <c r="J11" s="19" t="s">
        <v>235</v>
      </c>
    </row>
    <row r="12" ht="15.75" customHeight="1">
      <c r="A12" s="15" t="s">
        <v>240</v>
      </c>
      <c r="B12" s="17" t="s">
        <v>242</v>
      </c>
      <c r="C12" s="17" t="s">
        <v>245</v>
      </c>
      <c r="D12" s="17" t="s">
        <v>249</v>
      </c>
      <c r="E12" s="17" t="s">
        <v>219</v>
      </c>
      <c r="F12" s="17" t="s">
        <v>254</v>
      </c>
      <c r="G12" s="18" t="s">
        <v>260</v>
      </c>
      <c r="H12" s="18" t="s">
        <v>261</v>
      </c>
      <c r="I12" s="18" t="s">
        <v>81</v>
      </c>
      <c r="J12" s="19" t="s">
        <v>269</v>
      </c>
    </row>
    <row r="13" ht="15.75" customHeight="1">
      <c r="A13" s="15" t="s">
        <v>259</v>
      </c>
      <c r="B13" s="17" t="s">
        <v>274</v>
      </c>
      <c r="C13" s="17" t="s">
        <v>276</v>
      </c>
      <c r="D13" s="17" t="s">
        <v>280</v>
      </c>
      <c r="E13" s="17" t="s">
        <v>219</v>
      </c>
      <c r="F13" s="17" t="s">
        <v>283</v>
      </c>
      <c r="G13" s="18" t="s">
        <v>285</v>
      </c>
      <c r="H13" s="18" t="s">
        <v>288</v>
      </c>
      <c r="I13" s="18" t="s">
        <v>81</v>
      </c>
      <c r="J13" s="19" t="s">
        <v>296</v>
      </c>
    </row>
    <row r="14" ht="15.75" customHeight="1">
      <c r="A14" s="15" t="s">
        <v>300</v>
      </c>
      <c r="B14" s="17" t="s">
        <v>303</v>
      </c>
      <c r="C14" s="17" t="s">
        <v>306</v>
      </c>
      <c r="D14" s="17" t="s">
        <v>308</v>
      </c>
      <c r="E14" s="17" t="s">
        <v>219</v>
      </c>
      <c r="F14" s="17" t="s">
        <v>312</v>
      </c>
      <c r="G14" s="18" t="s">
        <v>314</v>
      </c>
      <c r="H14" s="18" t="s">
        <v>316</v>
      </c>
      <c r="I14" s="18" t="s">
        <v>81</v>
      </c>
      <c r="J14" s="19" t="s">
        <v>287</v>
      </c>
    </row>
    <row r="15" ht="15.75" customHeight="1">
      <c r="A15" s="26" t="s">
        <v>326</v>
      </c>
      <c r="B15" s="23" t="s">
        <v>336</v>
      </c>
      <c r="C15" s="23" t="s">
        <v>341</v>
      </c>
      <c r="D15" s="23" t="s">
        <v>344</v>
      </c>
      <c r="E15" s="23" t="s">
        <v>51</v>
      </c>
      <c r="F15" s="23" t="s">
        <v>348</v>
      </c>
      <c r="G15" s="24" t="s">
        <v>353</v>
      </c>
      <c r="H15" s="24" t="s">
        <v>356</v>
      </c>
      <c r="I15" s="24" t="s">
        <v>81</v>
      </c>
      <c r="J15" s="25" t="s">
        <v>360</v>
      </c>
    </row>
    <row r="16"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3:$J$15"/>
  <mergeCells count="2">
    <mergeCell ref="A1:J1"/>
    <mergeCell ref="A2:J2"/>
  </mergeCells>
  <conditionalFormatting sqref="I4:I15">
    <cfRule type="cellIs" dxfId="0" priority="1" operator="equal">
      <formula>"Deferred"</formula>
    </cfRule>
  </conditionalFormatting>
  <conditionalFormatting sqref="I4:I15">
    <cfRule type="cellIs" dxfId="1" priority="2" operator="equal">
      <formula>"Resolved"</formula>
    </cfRule>
  </conditionalFormatting>
  <conditionalFormatting sqref="I4:I15">
    <cfRule type="cellIs" dxfId="2" priority="3" operator="equal">
      <formula>"In Progress"</formula>
    </cfRule>
  </conditionalFormatting>
  <conditionalFormatting sqref="I4:I15">
    <cfRule type="cellIs" dxfId="3" priority="4" operator="equal">
      <formula>"Open"</formula>
    </cfRule>
  </conditionalFormatting>
  <dataValidations>
    <dataValidation type="list" allowBlank="1" showErrorMessage="1" sqref="I4:I15">
      <formula1>"Open,In Progress,Resolved,Deferred"</formula1>
    </dataValidation>
  </dataValidations>
  <printOptions/>
  <pageMargins bottom="1.0" footer="0.0" header="0.0" left="0.75" right="0.75" top="1.0"/>
  <pageSetup paperSize="9" orientation="portrait"/>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3.0" topLeftCell="A4" activePane="bottomLeft" state="frozen"/>
      <selection activeCell="B5" sqref="B5" pane="bottomLeft"/>
    </sheetView>
  </sheetViews>
  <sheetFormatPr customHeight="1" defaultColWidth="12.63" defaultRowHeight="15.0"/>
  <cols>
    <col customWidth="1" min="1" max="1" width="12.63"/>
    <col customWidth="1" min="2" max="2" width="43.88"/>
    <col customWidth="1" min="3" max="3" width="22.0"/>
    <col customWidth="1" min="4" max="4" width="45.13"/>
    <col customWidth="1" min="5" max="5" width="23.88"/>
    <col customWidth="1" min="6" max="6" width="27.63"/>
    <col customWidth="1" min="7" max="7" width="37.63"/>
    <col customWidth="1" min="8" max="8" width="22.63"/>
    <col customWidth="1" min="9" max="9" width="14.5"/>
    <col customWidth="1" min="10" max="10" width="23.88"/>
  </cols>
  <sheetData>
    <row r="1" ht="25.5" customHeight="1">
      <c r="A1" s="1" t="s">
        <v>2</v>
      </c>
      <c r="B1" s="2"/>
      <c r="C1" s="2"/>
      <c r="D1" s="2"/>
      <c r="E1" s="2"/>
      <c r="F1" s="2"/>
      <c r="G1" s="2"/>
      <c r="H1" s="2"/>
      <c r="I1" s="2"/>
      <c r="J1" s="3"/>
    </row>
    <row r="2" ht="31.5" customHeight="1">
      <c r="A2" s="8" t="s">
        <v>5</v>
      </c>
      <c r="B2" s="2"/>
      <c r="C2" s="2"/>
      <c r="D2" s="2"/>
      <c r="E2" s="2"/>
      <c r="F2" s="2"/>
      <c r="G2" s="2"/>
      <c r="H2" s="2"/>
      <c r="I2" s="2"/>
      <c r="J2" s="3"/>
    </row>
    <row r="3" ht="39.0" customHeight="1">
      <c r="A3" s="10" t="s">
        <v>12</v>
      </c>
      <c r="B3" s="11" t="s">
        <v>16</v>
      </c>
      <c r="C3" s="11" t="s">
        <v>19</v>
      </c>
      <c r="D3" s="11" t="s">
        <v>22</v>
      </c>
      <c r="E3" s="11" t="s">
        <v>25</v>
      </c>
      <c r="F3" s="11" t="s">
        <v>28</v>
      </c>
      <c r="G3" s="11" t="s">
        <v>29</v>
      </c>
      <c r="H3" s="11" t="s">
        <v>31</v>
      </c>
      <c r="I3" s="11" t="s">
        <v>33</v>
      </c>
      <c r="J3" s="14" t="s">
        <v>36</v>
      </c>
    </row>
    <row r="4" ht="15.75" customHeight="1">
      <c r="A4" s="15" t="s">
        <v>37</v>
      </c>
      <c r="B4" s="17" t="s">
        <v>40</v>
      </c>
      <c r="C4" s="17" t="s">
        <v>43</v>
      </c>
      <c r="D4" s="17" t="s">
        <v>44</v>
      </c>
      <c r="E4" s="17" t="s">
        <v>47</v>
      </c>
      <c r="F4" s="17" t="s">
        <v>48</v>
      </c>
      <c r="G4" s="18" t="s">
        <v>52</v>
      </c>
      <c r="H4" s="18" t="s">
        <v>56</v>
      </c>
      <c r="I4" s="18" t="s">
        <v>61</v>
      </c>
      <c r="J4" s="19" t="s">
        <v>63</v>
      </c>
    </row>
    <row r="5" ht="15.75" customHeight="1">
      <c r="A5" s="15" t="s">
        <v>65</v>
      </c>
      <c r="B5" s="17" t="s">
        <v>68</v>
      </c>
      <c r="C5" s="17" t="s">
        <v>43</v>
      </c>
      <c r="D5" s="17" t="s">
        <v>72</v>
      </c>
      <c r="E5" s="17" t="s">
        <v>47</v>
      </c>
      <c r="F5" s="17" t="s">
        <v>48</v>
      </c>
      <c r="G5" s="18" t="s">
        <v>74</v>
      </c>
      <c r="H5" s="18" t="s">
        <v>76</v>
      </c>
      <c r="I5" s="18" t="s">
        <v>61</v>
      </c>
      <c r="J5" s="19" t="s">
        <v>79</v>
      </c>
    </row>
    <row r="6" ht="15.75" customHeight="1">
      <c r="A6" s="15" t="s">
        <v>80</v>
      </c>
      <c r="B6" s="17" t="s">
        <v>83</v>
      </c>
      <c r="C6" s="17" t="s">
        <v>43</v>
      </c>
      <c r="D6" s="17" t="s">
        <v>85</v>
      </c>
      <c r="E6" s="17" t="s">
        <v>58</v>
      </c>
      <c r="F6" s="17" t="s">
        <v>48</v>
      </c>
      <c r="G6" s="18" t="s">
        <v>89</v>
      </c>
      <c r="H6" s="18" t="s">
        <v>91</v>
      </c>
      <c r="I6" s="18" t="s">
        <v>61</v>
      </c>
      <c r="J6" s="19" t="s">
        <v>96</v>
      </c>
    </row>
    <row r="7" ht="15.75" customHeight="1">
      <c r="A7" s="15" t="s">
        <v>98</v>
      </c>
      <c r="B7" s="17" t="s">
        <v>100</v>
      </c>
      <c r="C7" s="17" t="s">
        <v>43</v>
      </c>
      <c r="D7" s="17" t="s">
        <v>102</v>
      </c>
      <c r="E7" s="17" t="s">
        <v>58</v>
      </c>
      <c r="F7" s="17" t="s">
        <v>48</v>
      </c>
      <c r="G7" s="18" t="s">
        <v>106</v>
      </c>
      <c r="H7" s="18" t="s">
        <v>108</v>
      </c>
      <c r="I7" s="18" t="s">
        <v>81</v>
      </c>
      <c r="J7" s="19" t="s">
        <v>112</v>
      </c>
    </row>
    <row r="8" ht="15.75" customHeight="1">
      <c r="A8" s="15" t="s">
        <v>115</v>
      </c>
      <c r="B8" s="17" t="s">
        <v>117</v>
      </c>
      <c r="C8" s="17" t="s">
        <v>120</v>
      </c>
      <c r="D8" s="17" t="s">
        <v>122</v>
      </c>
      <c r="E8" s="17" t="s">
        <v>124</v>
      </c>
      <c r="F8" s="17" t="s">
        <v>48</v>
      </c>
      <c r="G8" s="21" t="s">
        <v>130</v>
      </c>
      <c r="H8" s="18" t="s">
        <v>138</v>
      </c>
      <c r="I8" s="18" t="s">
        <v>81</v>
      </c>
      <c r="J8" s="19" t="s">
        <v>140</v>
      </c>
    </row>
    <row r="9" ht="15.75" customHeight="1">
      <c r="A9" s="15" t="s">
        <v>143</v>
      </c>
      <c r="B9" s="17" t="s">
        <v>146</v>
      </c>
      <c r="C9" s="17" t="s">
        <v>148</v>
      </c>
      <c r="D9" s="17" t="s">
        <v>150</v>
      </c>
      <c r="E9" s="17" t="s">
        <v>151</v>
      </c>
      <c r="F9" s="17" t="s">
        <v>48</v>
      </c>
      <c r="G9" s="18" t="s">
        <v>154</v>
      </c>
      <c r="H9" s="18" t="s">
        <v>155</v>
      </c>
      <c r="I9" s="18" t="s">
        <v>81</v>
      </c>
      <c r="J9" s="19" t="s">
        <v>157</v>
      </c>
    </row>
    <row r="10" ht="15.75" customHeight="1">
      <c r="A10" s="15" t="s">
        <v>160</v>
      </c>
      <c r="B10" s="17" t="s">
        <v>163</v>
      </c>
      <c r="C10" s="17" t="s">
        <v>120</v>
      </c>
      <c r="D10" s="17" t="s">
        <v>166</v>
      </c>
      <c r="E10" s="17" t="s">
        <v>124</v>
      </c>
      <c r="F10" s="17" t="s">
        <v>48</v>
      </c>
      <c r="G10" s="18" t="s">
        <v>170</v>
      </c>
      <c r="H10" s="18" t="s">
        <v>171</v>
      </c>
      <c r="I10" s="18" t="s">
        <v>81</v>
      </c>
      <c r="J10" s="19" t="s">
        <v>174</v>
      </c>
    </row>
    <row r="11" ht="15.75" customHeight="1">
      <c r="A11" s="15" t="s">
        <v>176</v>
      </c>
      <c r="B11" s="17" t="s">
        <v>179</v>
      </c>
      <c r="C11" s="17" t="s">
        <v>180</v>
      </c>
      <c r="D11" s="17" t="s">
        <v>182</v>
      </c>
      <c r="E11" s="17" t="s">
        <v>47</v>
      </c>
      <c r="F11" s="17" t="s">
        <v>48</v>
      </c>
      <c r="G11" s="18" t="s">
        <v>187</v>
      </c>
      <c r="H11" s="18" t="s">
        <v>189</v>
      </c>
      <c r="I11" s="18" t="s">
        <v>61</v>
      </c>
      <c r="J11" s="19" t="s">
        <v>192</v>
      </c>
    </row>
    <row r="12" ht="15.75" customHeight="1">
      <c r="A12" s="15" t="s">
        <v>195</v>
      </c>
      <c r="B12" s="17" t="s">
        <v>198</v>
      </c>
      <c r="C12" s="17" t="s">
        <v>180</v>
      </c>
      <c r="D12" s="17" t="s">
        <v>200</v>
      </c>
      <c r="E12" s="17" t="s">
        <v>151</v>
      </c>
      <c r="F12" s="17" t="s">
        <v>48</v>
      </c>
      <c r="G12" s="18" t="s">
        <v>203</v>
      </c>
      <c r="H12" s="18" t="s">
        <v>205</v>
      </c>
      <c r="I12" s="18" t="s">
        <v>81</v>
      </c>
      <c r="J12" s="19" t="s">
        <v>209</v>
      </c>
    </row>
    <row r="13" ht="15.75" customHeight="1">
      <c r="A13" s="15" t="s">
        <v>211</v>
      </c>
      <c r="B13" s="17" t="s">
        <v>213</v>
      </c>
      <c r="C13" s="17" t="s">
        <v>180</v>
      </c>
      <c r="D13" s="17" t="s">
        <v>214</v>
      </c>
      <c r="E13" s="17" t="s">
        <v>151</v>
      </c>
      <c r="F13" s="17" t="s">
        <v>48</v>
      </c>
      <c r="G13" s="18" t="s">
        <v>218</v>
      </c>
      <c r="H13" s="18" t="s">
        <v>220</v>
      </c>
      <c r="I13" s="18" t="s">
        <v>61</v>
      </c>
      <c r="J13" s="19" t="s">
        <v>222</v>
      </c>
    </row>
    <row r="14" ht="15.75" customHeight="1">
      <c r="A14" s="15" t="s">
        <v>223</v>
      </c>
      <c r="B14" s="17" t="s">
        <v>224</v>
      </c>
      <c r="C14" s="17" t="s">
        <v>226</v>
      </c>
      <c r="D14" s="17" t="s">
        <v>228</v>
      </c>
      <c r="E14" s="17" t="s">
        <v>151</v>
      </c>
      <c r="F14" s="17" t="s">
        <v>48</v>
      </c>
      <c r="G14" s="18" t="s">
        <v>232</v>
      </c>
      <c r="H14" s="18" t="s">
        <v>233</v>
      </c>
      <c r="I14" s="18" t="s">
        <v>81</v>
      </c>
      <c r="J14" s="19" t="s">
        <v>237</v>
      </c>
    </row>
    <row r="15" ht="15.75" customHeight="1">
      <c r="A15" s="15" t="s">
        <v>239</v>
      </c>
      <c r="B15" s="17" t="s">
        <v>241</v>
      </c>
      <c r="C15" s="17" t="s">
        <v>226</v>
      </c>
      <c r="D15" s="17" t="s">
        <v>243</v>
      </c>
      <c r="E15" s="17" t="s">
        <v>151</v>
      </c>
      <c r="F15" s="17" t="s">
        <v>48</v>
      </c>
      <c r="G15" s="18" t="s">
        <v>247</v>
      </c>
      <c r="H15" s="18" t="s">
        <v>248</v>
      </c>
      <c r="I15" s="18" t="s">
        <v>81</v>
      </c>
      <c r="J15" s="19" t="s">
        <v>251</v>
      </c>
    </row>
    <row r="16" ht="15.75" customHeight="1">
      <c r="A16" s="15" t="s">
        <v>253</v>
      </c>
      <c r="B16" s="17" t="s">
        <v>256</v>
      </c>
      <c r="C16" s="17" t="s">
        <v>180</v>
      </c>
      <c r="D16" s="17" t="s">
        <v>258</v>
      </c>
      <c r="E16" s="17" t="s">
        <v>47</v>
      </c>
      <c r="F16" s="17" t="s">
        <v>48</v>
      </c>
      <c r="G16" s="18" t="s">
        <v>262</v>
      </c>
      <c r="H16" s="18" t="s">
        <v>264</v>
      </c>
      <c r="I16" s="18" t="s">
        <v>81</v>
      </c>
      <c r="J16" s="19" t="s">
        <v>265</v>
      </c>
    </row>
    <row r="17" ht="15.75" customHeight="1">
      <c r="A17" s="15" t="s">
        <v>266</v>
      </c>
      <c r="B17" s="17" t="s">
        <v>267</v>
      </c>
      <c r="C17" s="17" t="s">
        <v>180</v>
      </c>
      <c r="D17" s="17" t="s">
        <v>271</v>
      </c>
      <c r="E17" s="17" t="s">
        <v>58</v>
      </c>
      <c r="F17" s="17" t="s">
        <v>48</v>
      </c>
      <c r="G17" s="18" t="s">
        <v>272</v>
      </c>
      <c r="H17" s="18" t="s">
        <v>273</v>
      </c>
      <c r="I17" s="18" t="s">
        <v>81</v>
      </c>
      <c r="J17" s="19" t="s">
        <v>275</v>
      </c>
    </row>
    <row r="18" ht="15.75" customHeight="1">
      <c r="A18" s="15" t="s">
        <v>277</v>
      </c>
      <c r="B18" s="17" t="s">
        <v>278</v>
      </c>
      <c r="C18" s="17" t="s">
        <v>279</v>
      </c>
      <c r="D18" s="17" t="s">
        <v>281</v>
      </c>
      <c r="E18" s="17" t="s">
        <v>58</v>
      </c>
      <c r="F18" s="17" t="s">
        <v>48</v>
      </c>
      <c r="G18" s="18" t="s">
        <v>282</v>
      </c>
      <c r="H18" s="18" t="s">
        <v>284</v>
      </c>
      <c r="I18" s="18" t="s">
        <v>81</v>
      </c>
      <c r="J18" s="19" t="s">
        <v>287</v>
      </c>
    </row>
    <row r="19" ht="15.75" customHeight="1">
      <c r="A19" s="15" t="s">
        <v>290</v>
      </c>
      <c r="B19" s="17" t="s">
        <v>291</v>
      </c>
      <c r="C19" s="17" t="s">
        <v>293</v>
      </c>
      <c r="D19" s="17" t="s">
        <v>295</v>
      </c>
      <c r="E19" s="17" t="s">
        <v>58</v>
      </c>
      <c r="F19" s="17" t="s">
        <v>48</v>
      </c>
      <c r="G19" s="18" t="s">
        <v>298</v>
      </c>
      <c r="H19" s="18" t="s">
        <v>299</v>
      </c>
      <c r="I19" s="18" t="s">
        <v>81</v>
      </c>
      <c r="J19" s="19" t="s">
        <v>301</v>
      </c>
    </row>
    <row r="20" ht="15.75" customHeight="1">
      <c r="A20" s="15" t="s">
        <v>304</v>
      </c>
      <c r="B20" s="23" t="s">
        <v>307</v>
      </c>
      <c r="C20" s="23" t="s">
        <v>317</v>
      </c>
      <c r="D20" s="23" t="s">
        <v>318</v>
      </c>
      <c r="E20" s="23" t="s">
        <v>151</v>
      </c>
      <c r="F20" s="23" t="s">
        <v>48</v>
      </c>
      <c r="G20" s="24" t="s">
        <v>321</v>
      </c>
      <c r="H20" s="24" t="s">
        <v>327</v>
      </c>
      <c r="I20" s="24" t="s">
        <v>81</v>
      </c>
      <c r="J20" s="25" t="s">
        <v>330</v>
      </c>
    </row>
    <row r="21" ht="15.75" customHeight="1">
      <c r="A21" s="15" t="s">
        <v>333</v>
      </c>
      <c r="B21" s="27" t="s">
        <v>338</v>
      </c>
      <c r="C21" s="27" t="s">
        <v>339</v>
      </c>
      <c r="D21" s="27" t="s">
        <v>342</v>
      </c>
      <c r="E21" s="27" t="s">
        <v>47</v>
      </c>
      <c r="F21" s="27" t="s">
        <v>343</v>
      </c>
      <c r="G21" s="28" t="s">
        <v>346</v>
      </c>
      <c r="H21" s="28" t="s">
        <v>349</v>
      </c>
      <c r="I21" s="28" t="s">
        <v>81</v>
      </c>
      <c r="J21" s="28" t="s">
        <v>350</v>
      </c>
    </row>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sheetData>
  <autoFilter ref="$A$3:$J$20"/>
  <mergeCells count="2">
    <mergeCell ref="A1:J1"/>
    <mergeCell ref="A2:J2"/>
  </mergeCells>
  <conditionalFormatting sqref="I4:I21">
    <cfRule type="cellIs" dxfId="0" priority="1" operator="equal">
      <formula>"Deferred"</formula>
    </cfRule>
  </conditionalFormatting>
  <conditionalFormatting sqref="I4:I21">
    <cfRule type="cellIs" dxfId="1" priority="2" operator="equal">
      <formula>"Resolved"</formula>
    </cfRule>
  </conditionalFormatting>
  <conditionalFormatting sqref="I4:I21">
    <cfRule type="cellIs" dxfId="2" priority="3" operator="equal">
      <formula>"In Progress"</formula>
    </cfRule>
  </conditionalFormatting>
  <conditionalFormatting sqref="I4:I21">
    <cfRule type="cellIs" dxfId="3" priority="4" operator="equal">
      <formula>"Open"</formula>
    </cfRule>
  </conditionalFormatting>
  <dataValidations>
    <dataValidation type="list" allowBlank="1" showErrorMessage="1" sqref="I4:I21">
      <formula1>"Open,In Progress,Resolved,Deferred"</formula1>
    </dataValidation>
  </dataValidations>
  <printOptions/>
  <pageMargins bottom="1.0" footer="0.0" header="0.0" left="0.75" right="0.75" top="1.0"/>
  <pageSetup paperSize="9" orientation="portrait"/>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3.0" topLeftCell="A4" activePane="bottomLeft" state="frozen"/>
      <selection activeCell="B5" sqref="B5" pane="bottomLeft"/>
    </sheetView>
  </sheetViews>
  <sheetFormatPr customHeight="1" defaultColWidth="12.63" defaultRowHeight="15.0"/>
  <cols>
    <col customWidth="1" min="1" max="1" width="10.75"/>
    <col customWidth="1" min="2" max="2" width="31.38"/>
    <col customWidth="1" min="3" max="3" width="42.63"/>
    <col customWidth="1" min="4" max="5" width="23.88"/>
    <col customWidth="1" min="6" max="6" width="43.88"/>
    <col customWidth="1" min="8" max="8" width="37.63"/>
    <col customWidth="1" min="9" max="9" width="22.63"/>
    <col customWidth="1" min="10" max="10" width="14.5"/>
    <col customWidth="1" min="11" max="11" width="24.75"/>
  </cols>
  <sheetData>
    <row r="1" ht="25.5" customHeight="1">
      <c r="A1" s="1" t="s">
        <v>3</v>
      </c>
      <c r="B1" s="2"/>
      <c r="C1" s="2"/>
      <c r="D1" s="2"/>
      <c r="E1" s="2"/>
      <c r="F1" s="2"/>
      <c r="G1" s="2"/>
      <c r="H1" s="2"/>
      <c r="I1" s="2"/>
      <c r="J1" s="3"/>
      <c r="K1" s="5"/>
    </row>
    <row r="2" ht="31.5" customHeight="1">
      <c r="A2" s="8" t="s">
        <v>10</v>
      </c>
      <c r="B2" s="2"/>
      <c r="C2" s="2"/>
      <c r="D2" s="2"/>
      <c r="E2" s="2"/>
      <c r="F2" s="2"/>
      <c r="G2" s="2"/>
      <c r="H2" s="2"/>
      <c r="I2" s="2"/>
      <c r="J2" s="3"/>
      <c r="K2" s="5"/>
    </row>
    <row r="3" ht="39.0" customHeight="1">
      <c r="A3" s="10" t="s">
        <v>12</v>
      </c>
      <c r="B3" s="11" t="s">
        <v>17</v>
      </c>
      <c r="C3" s="11" t="s">
        <v>20</v>
      </c>
      <c r="D3" s="11" t="s">
        <v>23</v>
      </c>
      <c r="E3" s="11" t="s">
        <v>25</v>
      </c>
      <c r="F3" s="11" t="s">
        <v>30</v>
      </c>
      <c r="G3" s="11" t="s">
        <v>32</v>
      </c>
      <c r="H3" s="11" t="s">
        <v>34</v>
      </c>
      <c r="I3" s="11" t="s">
        <v>31</v>
      </c>
      <c r="J3" s="14" t="s">
        <v>33</v>
      </c>
      <c r="K3" s="16" t="s">
        <v>38</v>
      </c>
    </row>
    <row r="4" ht="15.75" customHeight="1">
      <c r="A4" s="15" t="s">
        <v>45</v>
      </c>
      <c r="B4" s="17" t="s">
        <v>50</v>
      </c>
      <c r="C4" s="17" t="s">
        <v>54</v>
      </c>
      <c r="D4" s="17" t="s">
        <v>55</v>
      </c>
      <c r="E4" s="17" t="s">
        <v>58</v>
      </c>
      <c r="F4" s="17" t="s">
        <v>60</v>
      </c>
      <c r="G4" s="17" t="s">
        <v>62</v>
      </c>
      <c r="H4" s="18" t="s">
        <v>67</v>
      </c>
      <c r="I4" s="18" t="s">
        <v>70</v>
      </c>
      <c r="J4" s="19" t="s">
        <v>81</v>
      </c>
      <c r="K4" s="20" t="s">
        <v>84</v>
      </c>
    </row>
    <row r="5" ht="15.75" customHeight="1">
      <c r="A5" s="15" t="s">
        <v>88</v>
      </c>
      <c r="B5" s="17" t="s">
        <v>92</v>
      </c>
      <c r="C5" s="17" t="s">
        <v>94</v>
      </c>
      <c r="D5" s="17" t="s">
        <v>95</v>
      </c>
      <c r="E5" s="17" t="s">
        <v>47</v>
      </c>
      <c r="F5" s="17" t="s">
        <v>99</v>
      </c>
      <c r="G5" s="17" t="s">
        <v>62</v>
      </c>
      <c r="H5" s="18" t="s">
        <v>104</v>
      </c>
      <c r="I5" s="18" t="s">
        <v>105</v>
      </c>
      <c r="J5" s="19" t="s">
        <v>81</v>
      </c>
      <c r="K5" s="20" t="s">
        <v>109</v>
      </c>
    </row>
    <row r="6" ht="15.75" customHeight="1">
      <c r="A6" s="15" t="s">
        <v>111</v>
      </c>
      <c r="B6" s="17" t="s">
        <v>113</v>
      </c>
      <c r="C6" s="17" t="s">
        <v>116</v>
      </c>
      <c r="D6" s="17" t="s">
        <v>118</v>
      </c>
      <c r="E6" s="17" t="s">
        <v>58</v>
      </c>
      <c r="F6" s="17" t="s">
        <v>121</v>
      </c>
      <c r="G6" s="17" t="s">
        <v>62</v>
      </c>
      <c r="H6" s="18" t="s">
        <v>126</v>
      </c>
      <c r="I6" s="18" t="s">
        <v>127</v>
      </c>
      <c r="J6" s="19" t="s">
        <v>81</v>
      </c>
      <c r="K6" s="20" t="s">
        <v>109</v>
      </c>
    </row>
    <row r="7" ht="15.75" customHeight="1">
      <c r="A7" s="15" t="s">
        <v>131</v>
      </c>
      <c r="B7" s="17" t="s">
        <v>132</v>
      </c>
      <c r="C7" s="17" t="s">
        <v>133</v>
      </c>
      <c r="D7" s="17" t="s">
        <v>135</v>
      </c>
      <c r="E7" s="17" t="s">
        <v>47</v>
      </c>
      <c r="F7" s="17" t="s">
        <v>136</v>
      </c>
      <c r="G7" s="17" t="s">
        <v>62</v>
      </c>
      <c r="H7" s="21" t="s">
        <v>142</v>
      </c>
      <c r="I7" s="21" t="s">
        <v>144</v>
      </c>
      <c r="J7" s="22" t="s">
        <v>81</v>
      </c>
      <c r="K7" s="20" t="s">
        <v>109</v>
      </c>
    </row>
    <row r="8" ht="15.75" customHeight="1">
      <c r="A8" s="15" t="s">
        <v>159</v>
      </c>
      <c r="B8" s="17" t="s">
        <v>162</v>
      </c>
      <c r="C8" s="17" t="s">
        <v>164</v>
      </c>
      <c r="D8" s="17" t="s">
        <v>158</v>
      </c>
      <c r="E8" s="17" t="s">
        <v>47</v>
      </c>
      <c r="F8" s="17" t="s">
        <v>168</v>
      </c>
      <c r="G8" s="17" t="s">
        <v>62</v>
      </c>
      <c r="H8" s="18" t="s">
        <v>175</v>
      </c>
      <c r="I8" s="18" t="s">
        <v>177</v>
      </c>
      <c r="J8" s="19" t="s">
        <v>81</v>
      </c>
      <c r="K8" s="20" t="s">
        <v>109</v>
      </c>
    </row>
    <row r="9" ht="15.75" customHeight="1">
      <c r="A9" s="15" t="s">
        <v>184</v>
      </c>
      <c r="B9" s="17" t="s">
        <v>185</v>
      </c>
      <c r="C9" s="17" t="s">
        <v>188</v>
      </c>
      <c r="D9" s="17" t="s">
        <v>110</v>
      </c>
      <c r="E9" s="17" t="s">
        <v>47</v>
      </c>
      <c r="F9" s="17" t="s">
        <v>191</v>
      </c>
      <c r="G9" s="17" t="s">
        <v>194</v>
      </c>
      <c r="H9" s="18" t="s">
        <v>196</v>
      </c>
      <c r="I9" s="18" t="s">
        <v>129</v>
      </c>
      <c r="J9" s="19" t="s">
        <v>81</v>
      </c>
      <c r="K9" s="20" t="s">
        <v>109</v>
      </c>
    </row>
    <row r="10" ht="15.75" customHeight="1">
      <c r="A10" s="15" t="s">
        <v>202</v>
      </c>
      <c r="B10" s="17" t="s">
        <v>204</v>
      </c>
      <c r="C10" s="17" t="s">
        <v>207</v>
      </c>
      <c r="D10" s="17" t="s">
        <v>137</v>
      </c>
      <c r="E10" s="17" t="s">
        <v>58</v>
      </c>
      <c r="F10" s="17" t="s">
        <v>210</v>
      </c>
      <c r="G10" s="17" t="s">
        <v>62</v>
      </c>
      <c r="H10" s="18" t="s">
        <v>215</v>
      </c>
      <c r="I10" s="18" t="s">
        <v>217</v>
      </c>
      <c r="J10" s="19" t="s">
        <v>81</v>
      </c>
      <c r="K10" s="20" t="s">
        <v>109</v>
      </c>
    </row>
    <row r="11" ht="15.75" customHeight="1">
      <c r="A11" s="15" t="s">
        <v>229</v>
      </c>
      <c r="B11" s="17" t="s">
        <v>230</v>
      </c>
      <c r="C11" s="17" t="s">
        <v>231</v>
      </c>
      <c r="D11" s="17" t="s">
        <v>234</v>
      </c>
      <c r="E11" s="17" t="s">
        <v>236</v>
      </c>
      <c r="F11" s="17" t="s">
        <v>238</v>
      </c>
      <c r="G11" s="17" t="s">
        <v>62</v>
      </c>
      <c r="H11" s="18" t="s">
        <v>244</v>
      </c>
      <c r="I11" s="18" t="s">
        <v>246</v>
      </c>
      <c r="J11" s="19" t="s">
        <v>81</v>
      </c>
      <c r="K11" s="20" t="s">
        <v>250</v>
      </c>
    </row>
    <row r="12" ht="15.75" customHeight="1">
      <c r="A12" s="15" t="s">
        <v>252</v>
      </c>
      <c r="B12" s="17" t="s">
        <v>255</v>
      </c>
      <c r="C12" s="17" t="s">
        <v>257</v>
      </c>
      <c r="D12" s="17" t="s">
        <v>259</v>
      </c>
      <c r="E12" s="17" t="s">
        <v>219</v>
      </c>
      <c r="F12" s="17" t="s">
        <v>263</v>
      </c>
      <c r="G12" s="17" t="s">
        <v>62</v>
      </c>
      <c r="H12" s="18" t="s">
        <v>268</v>
      </c>
      <c r="I12" s="18" t="s">
        <v>270</v>
      </c>
      <c r="J12" s="19" t="s">
        <v>81</v>
      </c>
      <c r="K12" s="20" t="s">
        <v>109</v>
      </c>
    </row>
    <row r="13" ht="15.75" customHeight="1">
      <c r="A13" s="15" t="s">
        <v>286</v>
      </c>
      <c r="B13" s="17" t="s">
        <v>289</v>
      </c>
      <c r="C13" s="17" t="s">
        <v>292</v>
      </c>
      <c r="D13" s="17" t="s">
        <v>294</v>
      </c>
      <c r="E13" s="17" t="s">
        <v>47</v>
      </c>
      <c r="F13" s="17" t="s">
        <v>297</v>
      </c>
      <c r="G13" s="17" t="s">
        <v>62</v>
      </c>
      <c r="H13" s="18" t="s">
        <v>302</v>
      </c>
      <c r="I13" s="18" t="s">
        <v>305</v>
      </c>
      <c r="J13" s="19" t="s">
        <v>81</v>
      </c>
      <c r="K13" s="20" t="s">
        <v>109</v>
      </c>
    </row>
    <row r="14" ht="15.75" customHeight="1">
      <c r="A14" s="15" t="s">
        <v>309</v>
      </c>
      <c r="B14" s="17" t="s">
        <v>310</v>
      </c>
      <c r="C14" s="17" t="s">
        <v>311</v>
      </c>
      <c r="D14" s="17" t="s">
        <v>313</v>
      </c>
      <c r="E14" s="17" t="s">
        <v>219</v>
      </c>
      <c r="F14" s="17" t="s">
        <v>315</v>
      </c>
      <c r="G14" s="17" t="s">
        <v>62</v>
      </c>
      <c r="H14" s="18" t="s">
        <v>319</v>
      </c>
      <c r="I14" s="18" t="s">
        <v>320</v>
      </c>
      <c r="J14" s="19" t="s">
        <v>81</v>
      </c>
      <c r="K14" s="20" t="s">
        <v>322</v>
      </c>
    </row>
    <row r="15" ht="15.75" customHeight="1">
      <c r="A15" s="15" t="s">
        <v>323</v>
      </c>
      <c r="B15" s="17" t="s">
        <v>324</v>
      </c>
      <c r="C15" s="17" t="s">
        <v>325</v>
      </c>
      <c r="D15" s="17" t="s">
        <v>313</v>
      </c>
      <c r="E15" s="17" t="s">
        <v>219</v>
      </c>
      <c r="F15" s="17" t="s">
        <v>328</v>
      </c>
      <c r="G15" s="17" t="s">
        <v>62</v>
      </c>
      <c r="H15" s="18" t="s">
        <v>329</v>
      </c>
      <c r="I15" s="18" t="s">
        <v>331</v>
      </c>
      <c r="J15" s="19" t="s">
        <v>81</v>
      </c>
      <c r="K15" s="20" t="s">
        <v>109</v>
      </c>
    </row>
    <row r="16" ht="15.75" customHeight="1">
      <c r="A16" s="15" t="s">
        <v>332</v>
      </c>
      <c r="B16" s="17" t="s">
        <v>334</v>
      </c>
      <c r="C16" s="17" t="s">
        <v>335</v>
      </c>
      <c r="D16" s="17" t="s">
        <v>337</v>
      </c>
      <c r="E16" s="17" t="s">
        <v>58</v>
      </c>
      <c r="F16" s="17" t="s">
        <v>340</v>
      </c>
      <c r="G16" s="17" t="s">
        <v>62</v>
      </c>
      <c r="H16" s="18" t="s">
        <v>345</v>
      </c>
      <c r="I16" s="18" t="s">
        <v>347</v>
      </c>
      <c r="J16" s="19" t="s">
        <v>81</v>
      </c>
      <c r="K16" s="20" t="s">
        <v>322</v>
      </c>
    </row>
    <row r="17" ht="15.75" customHeight="1">
      <c r="A17" s="15" t="s">
        <v>351</v>
      </c>
      <c r="B17" s="17" t="s">
        <v>352</v>
      </c>
      <c r="C17" s="17" t="s">
        <v>354</v>
      </c>
      <c r="D17" s="17" t="s">
        <v>355</v>
      </c>
      <c r="E17" s="17" t="s">
        <v>58</v>
      </c>
      <c r="F17" s="17" t="s">
        <v>357</v>
      </c>
      <c r="G17" s="17" t="s">
        <v>62</v>
      </c>
      <c r="H17" s="18" t="s">
        <v>358</v>
      </c>
      <c r="I17" s="18" t="s">
        <v>359</v>
      </c>
      <c r="J17" s="19" t="s">
        <v>81</v>
      </c>
      <c r="K17" s="20" t="s">
        <v>322</v>
      </c>
    </row>
    <row r="18" ht="15.75" customHeight="1">
      <c r="A18" s="15" t="s">
        <v>361</v>
      </c>
      <c r="B18" s="17" t="s">
        <v>362</v>
      </c>
      <c r="C18" s="17" t="s">
        <v>363</v>
      </c>
      <c r="D18" s="17" t="s">
        <v>143</v>
      </c>
      <c r="E18" s="17" t="s">
        <v>151</v>
      </c>
      <c r="F18" s="17" t="s">
        <v>364</v>
      </c>
      <c r="G18" s="17" t="s">
        <v>62</v>
      </c>
      <c r="H18" s="18" t="s">
        <v>365</v>
      </c>
      <c r="I18" s="18" t="s">
        <v>366</v>
      </c>
      <c r="J18" s="19" t="s">
        <v>81</v>
      </c>
      <c r="K18" s="20" t="s">
        <v>367</v>
      </c>
    </row>
    <row r="19" ht="15.75" customHeight="1">
      <c r="A19" s="15" t="s">
        <v>368</v>
      </c>
      <c r="B19" s="17" t="s">
        <v>369</v>
      </c>
      <c r="C19" s="17" t="s">
        <v>370</v>
      </c>
      <c r="D19" s="17" t="s">
        <v>176</v>
      </c>
      <c r="E19" s="17" t="s">
        <v>47</v>
      </c>
      <c r="F19" s="17" t="s">
        <v>371</v>
      </c>
      <c r="G19" s="17" t="s">
        <v>62</v>
      </c>
      <c r="H19" s="18" t="s">
        <v>372</v>
      </c>
      <c r="I19" s="18" t="s">
        <v>189</v>
      </c>
      <c r="J19" s="19" t="s">
        <v>61</v>
      </c>
      <c r="K19" s="20" t="s">
        <v>322</v>
      </c>
    </row>
    <row r="20" ht="15.75" customHeight="1">
      <c r="A20" s="15" t="s">
        <v>373</v>
      </c>
      <c r="B20" s="17" t="s">
        <v>374</v>
      </c>
      <c r="C20" s="17" t="s">
        <v>375</v>
      </c>
      <c r="D20" s="17" t="s">
        <v>211</v>
      </c>
      <c r="E20" s="17" t="s">
        <v>47</v>
      </c>
      <c r="F20" s="17" t="s">
        <v>376</v>
      </c>
      <c r="G20" s="17" t="s">
        <v>62</v>
      </c>
      <c r="H20" s="18" t="s">
        <v>377</v>
      </c>
      <c r="I20" s="18" t="s">
        <v>220</v>
      </c>
      <c r="J20" s="19" t="s">
        <v>61</v>
      </c>
      <c r="K20" s="20" t="s">
        <v>367</v>
      </c>
    </row>
    <row r="21" ht="15.75" customHeight="1">
      <c r="A21" s="15" t="s">
        <v>378</v>
      </c>
      <c r="B21" s="17" t="s">
        <v>379</v>
      </c>
      <c r="C21" s="17" t="s">
        <v>380</v>
      </c>
      <c r="D21" s="17" t="s">
        <v>381</v>
      </c>
      <c r="E21" s="17" t="s">
        <v>47</v>
      </c>
      <c r="F21" s="17" t="s">
        <v>382</v>
      </c>
      <c r="G21" s="17" t="s">
        <v>62</v>
      </c>
      <c r="H21" s="18" t="s">
        <v>383</v>
      </c>
      <c r="I21" s="18" t="s">
        <v>205</v>
      </c>
      <c r="J21" s="19" t="s">
        <v>81</v>
      </c>
      <c r="K21" s="20" t="s">
        <v>109</v>
      </c>
    </row>
    <row r="22" ht="15.75" customHeight="1">
      <c r="A22" s="15" t="s">
        <v>384</v>
      </c>
      <c r="B22" s="17" t="s">
        <v>385</v>
      </c>
      <c r="C22" s="17" t="s">
        <v>386</v>
      </c>
      <c r="D22" s="17" t="s">
        <v>387</v>
      </c>
      <c r="E22" s="17" t="s">
        <v>47</v>
      </c>
      <c r="F22" s="17" t="s">
        <v>388</v>
      </c>
      <c r="G22" s="17" t="s">
        <v>62</v>
      </c>
      <c r="H22" s="18" t="s">
        <v>389</v>
      </c>
      <c r="I22" s="18" t="s">
        <v>390</v>
      </c>
      <c r="J22" s="19" t="s">
        <v>81</v>
      </c>
      <c r="K22" s="20" t="s">
        <v>109</v>
      </c>
    </row>
    <row r="23" ht="15.75" customHeight="1">
      <c r="A23" s="15" t="s">
        <v>391</v>
      </c>
      <c r="B23" s="17" t="s">
        <v>392</v>
      </c>
      <c r="C23" s="17" t="s">
        <v>393</v>
      </c>
      <c r="D23" s="17" t="s">
        <v>394</v>
      </c>
      <c r="E23" s="17" t="s">
        <v>47</v>
      </c>
      <c r="F23" s="17" t="s">
        <v>395</v>
      </c>
      <c r="G23" s="17" t="s">
        <v>62</v>
      </c>
      <c r="H23" s="18" t="s">
        <v>396</v>
      </c>
      <c r="I23" s="18" t="s">
        <v>397</v>
      </c>
      <c r="J23" s="19" t="s">
        <v>81</v>
      </c>
      <c r="K23" s="20" t="s">
        <v>398</v>
      </c>
    </row>
    <row r="24" ht="15.75" customHeight="1">
      <c r="A24" s="15" t="s">
        <v>399</v>
      </c>
      <c r="B24" s="17" t="s">
        <v>400</v>
      </c>
      <c r="C24" s="17" t="s">
        <v>401</v>
      </c>
      <c r="D24" s="17" t="s">
        <v>266</v>
      </c>
      <c r="E24" s="17" t="s">
        <v>58</v>
      </c>
      <c r="F24" s="17" t="s">
        <v>402</v>
      </c>
      <c r="G24" s="17" t="s">
        <v>62</v>
      </c>
      <c r="H24" s="18" t="s">
        <v>403</v>
      </c>
      <c r="I24" s="18" t="s">
        <v>404</v>
      </c>
      <c r="J24" s="19" t="s">
        <v>81</v>
      </c>
      <c r="K24" s="20" t="s">
        <v>322</v>
      </c>
    </row>
    <row r="25" ht="15.75" customHeight="1">
      <c r="A25" s="15" t="s">
        <v>405</v>
      </c>
      <c r="B25" s="17" t="s">
        <v>406</v>
      </c>
      <c r="C25" s="17" t="s">
        <v>407</v>
      </c>
      <c r="D25" s="17" t="s">
        <v>266</v>
      </c>
      <c r="E25" s="17" t="s">
        <v>58</v>
      </c>
      <c r="F25" s="17" t="s">
        <v>408</v>
      </c>
      <c r="G25" s="17" t="s">
        <v>62</v>
      </c>
      <c r="H25" s="18" t="s">
        <v>409</v>
      </c>
      <c r="I25" s="18" t="s">
        <v>410</v>
      </c>
      <c r="J25" s="19" t="s">
        <v>81</v>
      </c>
      <c r="K25" s="20" t="s">
        <v>322</v>
      </c>
    </row>
    <row r="26" ht="15.75" customHeight="1">
      <c r="A26" s="15" t="s">
        <v>411</v>
      </c>
      <c r="B26" s="17" t="s">
        <v>412</v>
      </c>
      <c r="C26" s="17" t="s">
        <v>413</v>
      </c>
      <c r="D26" s="17" t="s">
        <v>206</v>
      </c>
      <c r="E26" s="17" t="s">
        <v>219</v>
      </c>
      <c r="F26" s="17" t="s">
        <v>414</v>
      </c>
      <c r="G26" s="17" t="s">
        <v>194</v>
      </c>
      <c r="H26" s="18" t="s">
        <v>415</v>
      </c>
      <c r="I26" s="18" t="s">
        <v>416</v>
      </c>
      <c r="J26" s="19" t="s">
        <v>81</v>
      </c>
      <c r="K26" s="20" t="s">
        <v>398</v>
      </c>
    </row>
    <row r="27" ht="15.75" customHeight="1">
      <c r="A27" s="15" t="s">
        <v>417</v>
      </c>
      <c r="B27" s="17" t="s">
        <v>418</v>
      </c>
      <c r="C27" s="17" t="s">
        <v>419</v>
      </c>
      <c r="D27" s="17" t="s">
        <v>420</v>
      </c>
      <c r="E27" s="17" t="s">
        <v>47</v>
      </c>
      <c r="F27" s="17" t="s">
        <v>421</v>
      </c>
      <c r="G27" s="17" t="s">
        <v>62</v>
      </c>
      <c r="H27" s="18" t="s">
        <v>422</v>
      </c>
      <c r="I27" s="18" t="s">
        <v>423</v>
      </c>
      <c r="J27" s="19" t="s">
        <v>81</v>
      </c>
      <c r="K27" s="20" t="s">
        <v>322</v>
      </c>
    </row>
    <row r="28" ht="15.75" customHeight="1">
      <c r="A28" s="29" t="s">
        <v>424</v>
      </c>
      <c r="B28" s="17" t="s">
        <v>425</v>
      </c>
      <c r="C28" s="17" t="s">
        <v>426</v>
      </c>
      <c r="D28" s="17" t="s">
        <v>427</v>
      </c>
      <c r="E28" s="17" t="s">
        <v>51</v>
      </c>
      <c r="F28" s="17" t="s">
        <v>428</v>
      </c>
      <c r="G28" s="17" t="s">
        <v>62</v>
      </c>
      <c r="H28" s="18" t="s">
        <v>429</v>
      </c>
      <c r="I28" s="18" t="s">
        <v>171</v>
      </c>
      <c r="J28" s="19" t="s">
        <v>81</v>
      </c>
      <c r="K28" s="20" t="s">
        <v>322</v>
      </c>
    </row>
    <row r="29" ht="15.75" customHeight="1">
      <c r="A29" s="15" t="s">
        <v>430</v>
      </c>
      <c r="B29" s="17" t="s">
        <v>431</v>
      </c>
      <c r="C29" s="17" t="s">
        <v>432</v>
      </c>
      <c r="D29" s="17" t="s">
        <v>433</v>
      </c>
      <c r="E29" s="17" t="s">
        <v>51</v>
      </c>
      <c r="F29" s="17" t="s">
        <v>435</v>
      </c>
      <c r="G29" s="17" t="s">
        <v>62</v>
      </c>
      <c r="H29" s="18" t="s">
        <v>436</v>
      </c>
      <c r="I29" s="18" t="s">
        <v>437</v>
      </c>
      <c r="J29" s="19" t="s">
        <v>81</v>
      </c>
      <c r="K29" s="20" t="s">
        <v>250</v>
      </c>
    </row>
    <row r="30" ht="15.75" customHeight="1">
      <c r="A30" s="15" t="s">
        <v>438</v>
      </c>
      <c r="B30" s="17" t="s">
        <v>439</v>
      </c>
      <c r="C30" s="17" t="s">
        <v>440</v>
      </c>
      <c r="D30" s="17" t="s">
        <v>441</v>
      </c>
      <c r="E30" s="17" t="s">
        <v>442</v>
      </c>
      <c r="F30" s="17" t="s">
        <v>443</v>
      </c>
      <c r="G30" s="17" t="s">
        <v>62</v>
      </c>
      <c r="H30" s="18" t="s">
        <v>444</v>
      </c>
      <c r="I30" s="18" t="s">
        <v>445</v>
      </c>
      <c r="J30" s="19" t="s">
        <v>81</v>
      </c>
      <c r="K30" s="20" t="s">
        <v>250</v>
      </c>
    </row>
    <row r="31" ht="15.75" customHeight="1">
      <c r="A31" s="15" t="s">
        <v>446</v>
      </c>
      <c r="B31" s="17" t="s">
        <v>447</v>
      </c>
      <c r="C31" s="17" t="s">
        <v>449</v>
      </c>
      <c r="D31" s="17" t="s">
        <v>450</v>
      </c>
      <c r="E31" s="17" t="s">
        <v>58</v>
      </c>
      <c r="F31" s="17" t="s">
        <v>451</v>
      </c>
      <c r="G31" s="17" t="s">
        <v>194</v>
      </c>
      <c r="H31" s="18" t="s">
        <v>452</v>
      </c>
      <c r="I31" s="18" t="s">
        <v>453</v>
      </c>
      <c r="J31" s="19" t="s">
        <v>61</v>
      </c>
      <c r="K31" s="20" t="s">
        <v>250</v>
      </c>
    </row>
    <row r="32" ht="15.75" customHeight="1">
      <c r="A32" s="15" t="s">
        <v>454</v>
      </c>
      <c r="B32" s="17" t="s">
        <v>456</v>
      </c>
      <c r="C32" s="17" t="s">
        <v>457</v>
      </c>
      <c r="D32" s="17" t="s">
        <v>458</v>
      </c>
      <c r="E32" s="17" t="s">
        <v>124</v>
      </c>
      <c r="F32" s="17" t="s">
        <v>460</v>
      </c>
      <c r="G32" s="17" t="s">
        <v>194</v>
      </c>
      <c r="H32" s="18" t="s">
        <v>462</v>
      </c>
      <c r="I32" s="18" t="s">
        <v>463</v>
      </c>
      <c r="J32" s="19" t="s">
        <v>61</v>
      </c>
      <c r="K32" s="20" t="s">
        <v>250</v>
      </c>
    </row>
    <row r="33" ht="15.75" customHeight="1">
      <c r="A33" s="15" t="s">
        <v>465</v>
      </c>
      <c r="B33" s="17" t="s">
        <v>466</v>
      </c>
      <c r="C33" s="17" t="s">
        <v>467</v>
      </c>
      <c r="D33" s="17" t="s">
        <v>41</v>
      </c>
      <c r="E33" s="17" t="s">
        <v>236</v>
      </c>
      <c r="F33" s="17" t="s">
        <v>469</v>
      </c>
      <c r="G33" s="17" t="s">
        <v>194</v>
      </c>
      <c r="H33" s="18" t="s">
        <v>470</v>
      </c>
      <c r="I33" s="18" t="s">
        <v>59</v>
      </c>
      <c r="J33" s="19" t="s">
        <v>61</v>
      </c>
      <c r="K33" s="20" t="s">
        <v>472</v>
      </c>
    </row>
    <row r="34" ht="15.75" customHeight="1">
      <c r="A34" s="15" t="s">
        <v>474</v>
      </c>
      <c r="B34" s="17" t="s">
        <v>476</v>
      </c>
      <c r="C34" s="17" t="s">
        <v>477</v>
      </c>
      <c r="D34" s="17" t="s">
        <v>66</v>
      </c>
      <c r="E34" s="17" t="s">
        <v>124</v>
      </c>
      <c r="F34" s="17" t="s">
        <v>480</v>
      </c>
      <c r="G34" s="17" t="s">
        <v>194</v>
      </c>
      <c r="H34" s="18" t="s">
        <v>481</v>
      </c>
      <c r="I34" s="18" t="s">
        <v>482</v>
      </c>
      <c r="J34" s="19" t="s">
        <v>61</v>
      </c>
      <c r="K34" s="20" t="s">
        <v>483</v>
      </c>
    </row>
    <row r="35" ht="15.75" customHeight="1">
      <c r="A35" s="15" t="s">
        <v>484</v>
      </c>
      <c r="B35" s="17" t="s">
        <v>485</v>
      </c>
      <c r="C35" s="17" t="s">
        <v>486</v>
      </c>
      <c r="D35" s="30" t="s">
        <v>487</v>
      </c>
      <c r="E35" s="17" t="s">
        <v>51</v>
      </c>
      <c r="F35" s="17" t="s">
        <v>488</v>
      </c>
      <c r="G35" s="17" t="s">
        <v>194</v>
      </c>
      <c r="H35" s="21" t="s">
        <v>489</v>
      </c>
      <c r="I35" s="18" t="s">
        <v>490</v>
      </c>
      <c r="J35" s="19" t="s">
        <v>491</v>
      </c>
      <c r="K35" s="20" t="s">
        <v>472</v>
      </c>
    </row>
    <row r="36" ht="15.75" customHeight="1">
      <c r="A36" s="15" t="s">
        <v>492</v>
      </c>
      <c r="B36" s="17" t="s">
        <v>493</v>
      </c>
      <c r="C36" s="17" t="s">
        <v>494</v>
      </c>
      <c r="D36" s="17" t="s">
        <v>495</v>
      </c>
      <c r="E36" s="17" t="s">
        <v>51</v>
      </c>
      <c r="F36" s="17" t="s">
        <v>496</v>
      </c>
      <c r="G36" s="17" t="s">
        <v>62</v>
      </c>
      <c r="H36" s="18" t="s">
        <v>498</v>
      </c>
      <c r="I36" s="18" t="s">
        <v>499</v>
      </c>
      <c r="J36" s="19" t="s">
        <v>81</v>
      </c>
      <c r="K36" s="20" t="s">
        <v>472</v>
      </c>
    </row>
    <row r="37" ht="15.75" customHeight="1">
      <c r="A37" s="15" t="s">
        <v>501</v>
      </c>
      <c r="B37" s="17" t="s">
        <v>502</v>
      </c>
      <c r="C37" s="17" t="s">
        <v>503</v>
      </c>
      <c r="D37" s="17" t="s">
        <v>433</v>
      </c>
      <c r="E37" s="17" t="s">
        <v>51</v>
      </c>
      <c r="F37" s="17" t="s">
        <v>506</v>
      </c>
      <c r="G37" s="17" t="s">
        <v>194</v>
      </c>
      <c r="H37" s="18" t="s">
        <v>510</v>
      </c>
      <c r="I37" s="18" t="s">
        <v>490</v>
      </c>
      <c r="J37" s="19" t="s">
        <v>491</v>
      </c>
      <c r="K37" s="20" t="s">
        <v>472</v>
      </c>
    </row>
    <row r="38" ht="15.75" customHeight="1">
      <c r="A38" s="26" t="s">
        <v>513</v>
      </c>
      <c r="B38" s="23" t="s">
        <v>516</v>
      </c>
      <c r="C38" s="23" t="s">
        <v>518</v>
      </c>
      <c r="D38" s="23" t="s">
        <v>433</v>
      </c>
      <c r="E38" s="23" t="s">
        <v>51</v>
      </c>
      <c r="F38" s="23" t="s">
        <v>520</v>
      </c>
      <c r="G38" s="23" t="s">
        <v>194</v>
      </c>
      <c r="H38" s="24" t="s">
        <v>526</v>
      </c>
      <c r="I38" s="24" t="s">
        <v>528</v>
      </c>
      <c r="J38" s="25" t="s">
        <v>81</v>
      </c>
      <c r="K38" s="20" t="s">
        <v>250</v>
      </c>
    </row>
    <row r="39" ht="15.75" customHeight="1">
      <c r="A39" s="31" t="s">
        <v>535</v>
      </c>
      <c r="B39" s="7" t="s">
        <v>542</v>
      </c>
      <c r="C39" s="7" t="s">
        <v>545</v>
      </c>
      <c r="D39" s="7" t="s">
        <v>546</v>
      </c>
      <c r="E39" s="7" t="s">
        <v>58</v>
      </c>
      <c r="F39" s="7" t="s">
        <v>548</v>
      </c>
      <c r="G39" s="7" t="s">
        <v>194</v>
      </c>
      <c r="H39" s="32" t="s">
        <v>553</v>
      </c>
      <c r="I39" s="32" t="s">
        <v>171</v>
      </c>
      <c r="J39" s="32" t="s">
        <v>491</v>
      </c>
      <c r="K39" s="20" t="s">
        <v>554</v>
      </c>
    </row>
    <row r="40" ht="15.75" customHeight="1">
      <c r="A40" s="31" t="s">
        <v>555</v>
      </c>
      <c r="B40" s="7" t="s">
        <v>556</v>
      </c>
      <c r="C40" s="7" t="s">
        <v>557</v>
      </c>
      <c r="D40" s="7" t="s">
        <v>558</v>
      </c>
      <c r="E40" s="7" t="s">
        <v>219</v>
      </c>
      <c r="F40" s="7" t="s">
        <v>559</v>
      </c>
      <c r="G40" s="7" t="s">
        <v>62</v>
      </c>
      <c r="H40" s="32" t="s">
        <v>560</v>
      </c>
      <c r="I40" s="32" t="s">
        <v>561</v>
      </c>
      <c r="J40" s="32" t="s">
        <v>81</v>
      </c>
      <c r="K40" s="20" t="s">
        <v>109</v>
      </c>
    </row>
    <row r="41" ht="15.75" customHeight="1">
      <c r="A41" s="31" t="s">
        <v>562</v>
      </c>
      <c r="B41" s="7" t="s">
        <v>563</v>
      </c>
      <c r="C41" s="7" t="s">
        <v>564</v>
      </c>
      <c r="D41" s="7" t="s">
        <v>565</v>
      </c>
      <c r="E41" s="7" t="s">
        <v>47</v>
      </c>
      <c r="F41" s="7" t="s">
        <v>566</v>
      </c>
      <c r="G41" s="7" t="s">
        <v>62</v>
      </c>
      <c r="H41" s="32" t="s">
        <v>568</v>
      </c>
      <c r="I41" s="32" t="s">
        <v>569</v>
      </c>
      <c r="J41" s="32" t="s">
        <v>81</v>
      </c>
      <c r="K41" s="20" t="s">
        <v>554</v>
      </c>
    </row>
    <row r="42" ht="15.75" customHeight="1">
      <c r="A42" s="31" t="s">
        <v>573</v>
      </c>
      <c r="B42" s="7" t="s">
        <v>575</v>
      </c>
      <c r="C42" s="7" t="s">
        <v>577</v>
      </c>
      <c r="D42" s="7" t="s">
        <v>578</v>
      </c>
      <c r="E42" s="7" t="s">
        <v>219</v>
      </c>
      <c r="F42" s="7" t="s">
        <v>580</v>
      </c>
      <c r="G42" s="7" t="s">
        <v>194</v>
      </c>
      <c r="H42" s="32" t="s">
        <v>583</v>
      </c>
      <c r="I42" s="32" t="s">
        <v>584</v>
      </c>
      <c r="J42" s="32" t="s">
        <v>61</v>
      </c>
      <c r="K42" s="20" t="s">
        <v>472</v>
      </c>
    </row>
    <row r="43" ht="15.75" customHeight="1">
      <c r="A43" s="31" t="s">
        <v>586</v>
      </c>
      <c r="B43" s="7" t="s">
        <v>588</v>
      </c>
      <c r="C43" s="7" t="s">
        <v>589</v>
      </c>
      <c r="D43" s="7" t="s">
        <v>591</v>
      </c>
      <c r="E43" s="7" t="s">
        <v>124</v>
      </c>
      <c r="F43" s="7" t="s">
        <v>594</v>
      </c>
      <c r="G43" s="7" t="s">
        <v>194</v>
      </c>
      <c r="H43" s="33" t="s">
        <v>599</v>
      </c>
      <c r="I43" s="33" t="s">
        <v>600</v>
      </c>
      <c r="J43" s="32" t="s">
        <v>81</v>
      </c>
      <c r="K43" s="20" t="s">
        <v>250</v>
      </c>
    </row>
    <row r="44" ht="15.75" customHeight="1">
      <c r="A44" s="34" t="s">
        <v>601</v>
      </c>
      <c r="B44" s="32" t="s">
        <v>602</v>
      </c>
      <c r="C44" s="32" t="s">
        <v>603</v>
      </c>
      <c r="D44" s="32" t="s">
        <v>604</v>
      </c>
      <c r="E44" s="32" t="s">
        <v>151</v>
      </c>
      <c r="F44" s="32" t="s">
        <v>605</v>
      </c>
      <c r="G44" s="32" t="s">
        <v>194</v>
      </c>
      <c r="H44" s="32" t="s">
        <v>606</v>
      </c>
      <c r="I44" s="32" t="s">
        <v>607</v>
      </c>
      <c r="J44" s="32" t="s">
        <v>81</v>
      </c>
      <c r="K44" s="35" t="s">
        <v>608</v>
      </c>
    </row>
    <row r="45" ht="15.75" customHeight="1">
      <c r="A45" s="36" t="s">
        <v>609</v>
      </c>
      <c r="B45" s="27" t="s">
        <v>610</v>
      </c>
      <c r="C45" s="27"/>
      <c r="D45" s="27" t="s">
        <v>611</v>
      </c>
      <c r="E45" s="27" t="s">
        <v>51</v>
      </c>
      <c r="F45" s="27" t="s">
        <v>612</v>
      </c>
      <c r="G45" s="7"/>
      <c r="H45" s="33" t="s">
        <v>613</v>
      </c>
      <c r="I45" s="33" t="s">
        <v>614</v>
      </c>
      <c r="J45" s="32"/>
      <c r="K45" s="20"/>
    </row>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3:$K$45"/>
  <mergeCells count="2">
    <mergeCell ref="A1:J1"/>
    <mergeCell ref="A2:J2"/>
  </mergeCells>
  <conditionalFormatting sqref="J4:J45">
    <cfRule type="cellIs" dxfId="0" priority="1" operator="equal">
      <formula>"Deferred"</formula>
    </cfRule>
  </conditionalFormatting>
  <conditionalFormatting sqref="J4:J45">
    <cfRule type="cellIs" dxfId="1" priority="2" operator="equal">
      <formula>"Resolved"</formula>
    </cfRule>
  </conditionalFormatting>
  <conditionalFormatting sqref="J4:J45">
    <cfRule type="cellIs" dxfId="2" priority="3" operator="equal">
      <formula>"In Progress"</formula>
    </cfRule>
  </conditionalFormatting>
  <conditionalFormatting sqref="J4:J45">
    <cfRule type="cellIs" dxfId="3" priority="4" operator="equal">
      <formula>"Open"</formula>
    </cfRule>
  </conditionalFormatting>
  <dataValidations>
    <dataValidation type="list" allowBlank="1" showErrorMessage="1" sqref="J4:J45">
      <formula1>"Open,In Progress,Resolved,Deferred"</formula1>
    </dataValidation>
    <dataValidation type="list" allowBlank="1" showErrorMessage="1" sqref="G4:G45">
      <formula1>"High,Medium,Low"</formula1>
    </dataValidation>
  </dataValidations>
  <printOptions/>
  <pageMargins bottom="0.75" footer="0.0" header="0.0" left="0.7" right="0.7" top="0.75"/>
  <pageSetup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3.0" topLeftCell="A4" activePane="bottomLeft" state="frozen"/>
      <selection activeCell="B5" sqref="B5" pane="bottomLeft"/>
    </sheetView>
  </sheetViews>
  <sheetFormatPr customHeight="1" defaultColWidth="12.63" defaultRowHeight="15.0"/>
  <cols>
    <col customWidth="1" min="1" max="1" width="10.75"/>
    <col customWidth="1" min="2" max="2" width="45.0"/>
    <col customWidth="1" min="3" max="3" width="24.0"/>
    <col customWidth="1" min="4" max="4" width="26.0"/>
    <col customWidth="1" min="5" max="5" width="20.0"/>
    <col customWidth="1" min="6" max="6" width="45.0"/>
    <col customWidth="1" min="7" max="7" width="14.5"/>
    <col customWidth="1" min="8" max="8" width="20.0"/>
    <col customWidth="1" min="9" max="26" width="8.63"/>
  </cols>
  <sheetData>
    <row r="1" ht="25.5" customHeight="1">
      <c r="A1" s="1" t="s">
        <v>434</v>
      </c>
      <c r="B1" s="2"/>
      <c r="C1" s="2"/>
      <c r="D1" s="2"/>
      <c r="E1" s="2"/>
      <c r="F1" s="2"/>
      <c r="G1" s="2"/>
      <c r="H1" s="3"/>
    </row>
    <row r="2" ht="31.5" customHeight="1">
      <c r="A2" s="8" t="s">
        <v>448</v>
      </c>
      <c r="B2" s="2"/>
      <c r="C2" s="2"/>
      <c r="D2" s="2"/>
      <c r="E2" s="2"/>
      <c r="F2" s="2"/>
      <c r="G2" s="2"/>
      <c r="H2" s="3"/>
    </row>
    <row r="3" ht="39.0" customHeight="1">
      <c r="A3" s="10" t="s">
        <v>12</v>
      </c>
      <c r="B3" s="10" t="s">
        <v>455</v>
      </c>
      <c r="C3" s="10" t="s">
        <v>459</v>
      </c>
      <c r="D3" s="10" t="s">
        <v>31</v>
      </c>
      <c r="E3" s="10" t="s">
        <v>461</v>
      </c>
      <c r="F3" s="10" t="s">
        <v>464</v>
      </c>
      <c r="G3" s="10" t="s">
        <v>33</v>
      </c>
      <c r="H3" s="10" t="s">
        <v>39</v>
      </c>
    </row>
    <row r="4">
      <c r="A4" s="15" t="s">
        <v>468</v>
      </c>
      <c r="B4" s="17" t="s">
        <v>471</v>
      </c>
      <c r="C4" s="17" t="s">
        <v>473</v>
      </c>
      <c r="D4" s="17" t="s">
        <v>475</v>
      </c>
      <c r="E4" s="17" t="s">
        <v>478</v>
      </c>
      <c r="F4" s="17" t="s">
        <v>479</v>
      </c>
      <c r="G4" s="17" t="s">
        <v>61</v>
      </c>
      <c r="H4" s="17" t="s">
        <v>497</v>
      </c>
    </row>
    <row r="5">
      <c r="A5" s="15" t="s">
        <v>500</v>
      </c>
      <c r="B5" s="17" t="s">
        <v>504</v>
      </c>
      <c r="C5" s="17" t="s">
        <v>505</v>
      </c>
      <c r="D5" s="17" t="s">
        <v>507</v>
      </c>
      <c r="E5" s="17" t="s">
        <v>508</v>
      </c>
      <c r="F5" s="17" t="s">
        <v>509</v>
      </c>
      <c r="G5" s="17" t="s">
        <v>81</v>
      </c>
      <c r="H5" s="17" t="s">
        <v>511</v>
      </c>
    </row>
    <row r="6">
      <c r="A6" s="15" t="s">
        <v>512</v>
      </c>
      <c r="B6" s="17" t="s">
        <v>514</v>
      </c>
      <c r="C6" s="17" t="s">
        <v>505</v>
      </c>
      <c r="D6" s="17" t="s">
        <v>515</v>
      </c>
      <c r="E6" s="17" t="s">
        <v>517</v>
      </c>
      <c r="F6" s="17" t="s">
        <v>509</v>
      </c>
      <c r="G6" s="17" t="s">
        <v>81</v>
      </c>
      <c r="H6" s="17" t="s">
        <v>519</v>
      </c>
    </row>
    <row r="7">
      <c r="A7" s="15" t="s">
        <v>521</v>
      </c>
      <c r="B7" s="17" t="s">
        <v>522</v>
      </c>
      <c r="C7" s="17" t="s">
        <v>523</v>
      </c>
      <c r="D7" s="17" t="s">
        <v>524</v>
      </c>
      <c r="E7" s="17" t="s">
        <v>525</v>
      </c>
      <c r="F7" s="17" t="s">
        <v>527</v>
      </c>
      <c r="G7" s="17" t="s">
        <v>61</v>
      </c>
      <c r="H7" s="17" t="s">
        <v>529</v>
      </c>
    </row>
    <row r="8">
      <c r="A8" s="15" t="s">
        <v>530</v>
      </c>
      <c r="B8" s="17" t="s">
        <v>531</v>
      </c>
      <c r="C8" s="17" t="s">
        <v>532</v>
      </c>
      <c r="D8" s="17" t="s">
        <v>533</v>
      </c>
      <c r="E8" s="17" t="s">
        <v>361</v>
      </c>
      <c r="F8" s="17" t="s">
        <v>534</v>
      </c>
      <c r="G8" s="17" t="s">
        <v>81</v>
      </c>
      <c r="H8" s="17" t="s">
        <v>536</v>
      </c>
    </row>
    <row r="9">
      <c r="A9" s="15" t="s">
        <v>537</v>
      </c>
      <c r="B9" s="17" t="s">
        <v>538</v>
      </c>
      <c r="C9" s="17" t="s">
        <v>539</v>
      </c>
      <c r="D9" s="17" t="s">
        <v>540</v>
      </c>
      <c r="E9" s="17" t="s">
        <v>541</v>
      </c>
      <c r="F9" s="17" t="s">
        <v>543</v>
      </c>
      <c r="G9" s="17" t="s">
        <v>544</v>
      </c>
      <c r="H9" s="17" t="s">
        <v>490</v>
      </c>
    </row>
    <row r="10">
      <c r="A10" s="15" t="s">
        <v>547</v>
      </c>
      <c r="B10" s="17" t="s">
        <v>549</v>
      </c>
      <c r="C10" s="17" t="s">
        <v>550</v>
      </c>
      <c r="D10" s="17" t="s">
        <v>551</v>
      </c>
      <c r="E10" s="17" t="s">
        <v>252</v>
      </c>
      <c r="F10" s="17" t="s">
        <v>552</v>
      </c>
      <c r="G10" s="17" t="s">
        <v>81</v>
      </c>
      <c r="H10" s="17" t="s">
        <v>567</v>
      </c>
    </row>
    <row r="11">
      <c r="A11" s="15" t="s">
        <v>570</v>
      </c>
      <c r="B11" s="17" t="s">
        <v>571</v>
      </c>
      <c r="C11" s="17" t="s">
        <v>572</v>
      </c>
      <c r="D11" s="17" t="s">
        <v>574</v>
      </c>
      <c r="E11" s="17" t="s">
        <v>576</v>
      </c>
      <c r="F11" s="17" t="s">
        <v>509</v>
      </c>
      <c r="G11" s="17" t="s">
        <v>81</v>
      </c>
      <c r="H11" s="17" t="s">
        <v>579</v>
      </c>
    </row>
    <row r="12">
      <c r="A12" s="15" t="s">
        <v>581</v>
      </c>
      <c r="B12" s="17" t="s">
        <v>582</v>
      </c>
      <c r="C12" s="17" t="s">
        <v>523</v>
      </c>
      <c r="D12" s="17" t="s">
        <v>585</v>
      </c>
      <c r="E12" s="17" t="s">
        <v>411</v>
      </c>
      <c r="F12" s="17" t="s">
        <v>587</v>
      </c>
      <c r="G12" s="17" t="s">
        <v>81</v>
      </c>
      <c r="H12" s="17" t="s">
        <v>590</v>
      </c>
    </row>
    <row r="13">
      <c r="A13" s="15" t="s">
        <v>592</v>
      </c>
      <c r="B13" s="17" t="s">
        <v>593</v>
      </c>
      <c r="C13" s="17" t="s">
        <v>595</v>
      </c>
      <c r="D13" s="17" t="s">
        <v>596</v>
      </c>
      <c r="E13" s="17" t="s">
        <v>597</v>
      </c>
      <c r="F13" s="17" t="s">
        <v>598</v>
      </c>
      <c r="G13" s="17" t="s">
        <v>61</v>
      </c>
      <c r="H13" s="17" t="s">
        <v>529</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3:$H$13"/>
  <mergeCells count="2">
    <mergeCell ref="A1:H1"/>
    <mergeCell ref="A2:H2"/>
  </mergeCells>
  <conditionalFormatting sqref="G4:G13">
    <cfRule type="cellIs" dxfId="0" priority="1" operator="equal">
      <formula>"Deferred"</formula>
    </cfRule>
  </conditionalFormatting>
  <conditionalFormatting sqref="G4:G13">
    <cfRule type="cellIs" dxfId="1" priority="2" operator="equal">
      <formula>"Resolved"</formula>
    </cfRule>
  </conditionalFormatting>
  <conditionalFormatting sqref="G4:G13">
    <cfRule type="cellIs" dxfId="2" priority="3" operator="equal">
      <formula>"In Progress"</formula>
    </cfRule>
  </conditionalFormatting>
  <conditionalFormatting sqref="G4:G13">
    <cfRule type="cellIs" dxfId="3" priority="4" operator="equal">
      <formula>"Open"</formula>
    </cfRule>
  </conditionalFormatting>
  <dataValidations>
    <dataValidation type="list" allowBlank="1" sqref="G4:G13">
      <formula1>"Open,In Progress,Resolved,Deferred"</formula1>
    </dataValidation>
  </dataValidations>
  <printOptions/>
  <pageMargins bottom="1.0" footer="0.0" header="0.0" left="0.75" right="0.75" top="1.0"/>
  <pageSetup paperSize="9" orientation="portrait"/>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3.0" topLeftCell="A4" activePane="bottomLeft" state="frozen"/>
      <selection activeCell="B5" sqref="B5" pane="bottomLeft"/>
    </sheetView>
  </sheetViews>
  <sheetFormatPr customHeight="1" defaultColWidth="12.63" defaultRowHeight="15.0"/>
  <cols>
    <col customWidth="1" min="1" max="1" width="8.0"/>
    <col customWidth="1" min="2" max="2" width="26.0"/>
    <col customWidth="1" min="3" max="3" width="18.0"/>
    <col customWidth="1" min="4" max="5" width="34.0"/>
    <col customWidth="1" min="6" max="6" width="30.0"/>
    <col customWidth="1" min="7" max="7" width="42.0"/>
    <col customWidth="1" min="8" max="8" width="14.5"/>
    <col customWidth="1" min="9" max="26" width="8.63"/>
  </cols>
  <sheetData>
    <row r="1" ht="25.5" customHeight="1">
      <c r="A1" s="1" t="s">
        <v>615</v>
      </c>
      <c r="B1" s="2"/>
      <c r="C1" s="2"/>
      <c r="D1" s="2"/>
      <c r="E1" s="2"/>
      <c r="F1" s="2"/>
      <c r="G1" s="2"/>
      <c r="H1" s="3"/>
    </row>
    <row r="2" ht="31.5" customHeight="1">
      <c r="A2" s="8" t="s">
        <v>616</v>
      </c>
      <c r="B2" s="2"/>
      <c r="C2" s="2"/>
      <c r="D2" s="2"/>
      <c r="E2" s="2"/>
      <c r="F2" s="2"/>
      <c r="G2" s="2"/>
      <c r="H2" s="3"/>
    </row>
    <row r="3" ht="39.0" customHeight="1">
      <c r="A3" s="10" t="s">
        <v>12</v>
      </c>
      <c r="B3" s="10" t="s">
        <v>617</v>
      </c>
      <c r="C3" s="10" t="s">
        <v>461</v>
      </c>
      <c r="D3" s="10" t="s">
        <v>618</v>
      </c>
      <c r="E3" s="10" t="s">
        <v>619</v>
      </c>
      <c r="F3" s="10" t="s">
        <v>620</v>
      </c>
      <c r="G3" s="10" t="s">
        <v>621</v>
      </c>
      <c r="H3" s="10" t="s">
        <v>33</v>
      </c>
    </row>
    <row r="4">
      <c r="A4" s="15" t="s">
        <v>622</v>
      </c>
      <c r="B4" s="17" t="s">
        <v>623</v>
      </c>
      <c r="C4" s="17" t="s">
        <v>624</v>
      </c>
      <c r="D4" s="17" t="s">
        <v>625</v>
      </c>
      <c r="E4" s="17" t="s">
        <v>626</v>
      </c>
      <c r="F4" s="17" t="s">
        <v>627</v>
      </c>
      <c r="G4" s="30" t="s">
        <v>628</v>
      </c>
      <c r="H4" s="30" t="s">
        <v>81</v>
      </c>
    </row>
    <row r="5">
      <c r="A5" s="15" t="s">
        <v>629</v>
      </c>
      <c r="B5" s="17" t="s">
        <v>630</v>
      </c>
      <c r="C5" s="17" t="s">
        <v>631</v>
      </c>
      <c r="D5" s="17" t="s">
        <v>632</v>
      </c>
      <c r="E5" s="17" t="s">
        <v>633</v>
      </c>
      <c r="F5" s="17" t="s">
        <v>634</v>
      </c>
      <c r="G5" s="17" t="s">
        <v>635</v>
      </c>
      <c r="H5" s="30" t="s">
        <v>81</v>
      </c>
    </row>
    <row r="6">
      <c r="A6" s="15" t="s">
        <v>636</v>
      </c>
      <c r="B6" s="17" t="s">
        <v>637</v>
      </c>
      <c r="C6" s="17" t="s">
        <v>638</v>
      </c>
      <c r="D6" s="17" t="s">
        <v>639</v>
      </c>
      <c r="E6" s="17" t="s">
        <v>640</v>
      </c>
      <c r="F6" s="30" t="s">
        <v>641</v>
      </c>
      <c r="G6" s="30" t="s">
        <v>642</v>
      </c>
      <c r="H6" s="30" t="s">
        <v>81</v>
      </c>
    </row>
    <row r="7">
      <c r="A7" s="15" t="s">
        <v>643</v>
      </c>
      <c r="B7" s="17" t="s">
        <v>644</v>
      </c>
      <c r="C7" s="17" t="s">
        <v>645</v>
      </c>
      <c r="D7" s="17" t="s">
        <v>646</v>
      </c>
      <c r="E7" s="17" t="s">
        <v>647</v>
      </c>
      <c r="F7" s="17" t="s">
        <v>648</v>
      </c>
      <c r="G7" s="17" t="s">
        <v>649</v>
      </c>
      <c r="H7" s="30" t="s">
        <v>81</v>
      </c>
    </row>
    <row r="8">
      <c r="A8" s="15" t="s">
        <v>650</v>
      </c>
      <c r="B8" s="17" t="s">
        <v>651</v>
      </c>
      <c r="C8" s="17" t="s">
        <v>45</v>
      </c>
      <c r="D8" s="17" t="s">
        <v>652</v>
      </c>
      <c r="E8" s="17" t="s">
        <v>653</v>
      </c>
      <c r="F8" s="17" t="s">
        <v>654</v>
      </c>
      <c r="G8" s="17" t="s">
        <v>655</v>
      </c>
      <c r="H8" s="17" t="s">
        <v>81</v>
      </c>
    </row>
    <row r="9">
      <c r="A9" s="15" t="s">
        <v>656</v>
      </c>
      <c r="B9" s="17" t="s">
        <v>657</v>
      </c>
      <c r="C9" s="17" t="s">
        <v>384</v>
      </c>
      <c r="D9" s="17" t="s">
        <v>658</v>
      </c>
      <c r="E9" s="17" t="s">
        <v>659</v>
      </c>
      <c r="F9" s="17" t="s">
        <v>660</v>
      </c>
      <c r="G9" s="17" t="s">
        <v>661</v>
      </c>
      <c r="H9" s="17" t="s">
        <v>81</v>
      </c>
    </row>
    <row r="12">
      <c r="B12" s="37" t="s">
        <v>662</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3:$H$9"/>
  <mergeCells count="2">
    <mergeCell ref="A1:H1"/>
    <mergeCell ref="A2:H2"/>
  </mergeCells>
  <conditionalFormatting sqref="H4:H9">
    <cfRule type="cellIs" dxfId="0" priority="1" operator="equal">
      <formula>"Deferred"</formula>
    </cfRule>
  </conditionalFormatting>
  <conditionalFormatting sqref="H4:H9">
    <cfRule type="cellIs" dxfId="1" priority="2" operator="equal">
      <formula>"Resolved"</formula>
    </cfRule>
  </conditionalFormatting>
  <conditionalFormatting sqref="H4:H9">
    <cfRule type="cellIs" dxfId="2" priority="3" operator="equal">
      <formula>"In Progress"</formula>
    </cfRule>
  </conditionalFormatting>
  <conditionalFormatting sqref="H4:H9">
    <cfRule type="cellIs" dxfId="3" priority="4" operator="equal">
      <formula>"Open"</formula>
    </cfRule>
  </conditionalFormatting>
  <dataValidations>
    <dataValidation type="list" allowBlank="1" sqref="H4:H9">
      <formula1>"Open,In Progress,Resolved,Deferred"</formula1>
    </dataValidation>
  </dataValidations>
  <printOptions/>
  <pageMargins bottom="1.0" footer="0.0" header="0.0" left="0.75" right="0.75" top="1.0"/>
  <pageSetup paperSize="9" orientation="portrait"/>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3.0" topLeftCell="A4" activePane="bottomLeft" state="frozen"/>
      <selection activeCell="B5" sqref="B5" pane="bottomLeft"/>
    </sheetView>
  </sheetViews>
  <sheetFormatPr customHeight="1" defaultColWidth="12.63" defaultRowHeight="15.0"/>
  <cols>
    <col customWidth="1" min="1" max="1" width="10.75"/>
    <col customWidth="1" min="2" max="2" width="26.0"/>
    <col customWidth="1" min="3" max="3" width="30.0"/>
    <col customWidth="1" min="4" max="4" width="18.0"/>
    <col customWidth="1" min="5" max="5" width="24.0"/>
    <col customWidth="1" min="6" max="6" width="14.0"/>
    <col customWidth="1" min="7" max="7" width="16.0"/>
    <col customWidth="1" min="8" max="8" width="60.0"/>
    <col customWidth="1" min="9" max="26" width="8.63"/>
  </cols>
  <sheetData>
    <row r="1" ht="25.5" customHeight="1">
      <c r="A1" s="1" t="s">
        <v>663</v>
      </c>
      <c r="B1" s="2"/>
      <c r="C1" s="2"/>
      <c r="D1" s="2"/>
      <c r="E1" s="2"/>
      <c r="F1" s="2"/>
      <c r="G1" s="2"/>
      <c r="H1" s="3"/>
    </row>
    <row r="2" ht="31.5" customHeight="1">
      <c r="A2" s="8" t="s">
        <v>664</v>
      </c>
      <c r="B2" s="2"/>
      <c r="C2" s="2"/>
      <c r="D2" s="2"/>
      <c r="E2" s="2"/>
      <c r="F2" s="2"/>
      <c r="G2" s="2"/>
      <c r="H2" s="3"/>
    </row>
    <row r="3" ht="39.0" customHeight="1">
      <c r="A3" s="10" t="s">
        <v>665</v>
      </c>
      <c r="B3" s="10" t="s">
        <v>666</v>
      </c>
      <c r="C3" s="10" t="s">
        <v>667</v>
      </c>
      <c r="D3" s="10" t="s">
        <v>668</v>
      </c>
      <c r="E3" s="10" t="s">
        <v>669</v>
      </c>
      <c r="F3" s="10" t="s">
        <v>670</v>
      </c>
      <c r="G3" s="10" t="s">
        <v>671</v>
      </c>
      <c r="H3" s="10" t="s">
        <v>672</v>
      </c>
    </row>
    <row r="4">
      <c r="A4" s="15" t="s">
        <v>595</v>
      </c>
      <c r="B4" s="17" t="s">
        <v>673</v>
      </c>
      <c r="C4" s="17" t="s">
        <v>674</v>
      </c>
      <c r="D4" s="30" t="s">
        <v>675</v>
      </c>
      <c r="E4" s="17" t="s">
        <v>676</v>
      </c>
      <c r="F4" s="17" t="s">
        <v>677</v>
      </c>
      <c r="G4" s="17" t="s">
        <v>678</v>
      </c>
      <c r="H4" s="17" t="s">
        <v>679</v>
      </c>
    </row>
    <row r="5">
      <c r="A5" s="15" t="s">
        <v>523</v>
      </c>
      <c r="B5" s="17" t="s">
        <v>680</v>
      </c>
      <c r="C5" s="17" t="s">
        <v>681</v>
      </c>
      <c r="D5" s="17" t="s">
        <v>682</v>
      </c>
      <c r="E5" s="17" t="s">
        <v>683</v>
      </c>
      <c r="F5" s="17" t="s">
        <v>674</v>
      </c>
      <c r="G5" s="17" t="s">
        <v>678</v>
      </c>
      <c r="H5" s="17" t="s">
        <v>684</v>
      </c>
    </row>
    <row r="6">
      <c r="A6" s="15" t="s">
        <v>685</v>
      </c>
      <c r="B6" s="17" t="s">
        <v>51</v>
      </c>
      <c r="C6" s="30" t="s">
        <v>686</v>
      </c>
      <c r="D6" s="30" t="s">
        <v>687</v>
      </c>
      <c r="E6" s="17" t="s">
        <v>688</v>
      </c>
      <c r="F6" s="38">
        <v>46287.0</v>
      </c>
      <c r="G6" s="17" t="s">
        <v>678</v>
      </c>
      <c r="H6" s="17" t="s">
        <v>689</v>
      </c>
    </row>
    <row r="7">
      <c r="A7" s="15" t="s">
        <v>690</v>
      </c>
      <c r="B7" s="17" t="s">
        <v>691</v>
      </c>
      <c r="C7" s="17" t="s">
        <v>692</v>
      </c>
      <c r="D7" s="30" t="s">
        <v>693</v>
      </c>
      <c r="E7" s="17" t="s">
        <v>688</v>
      </c>
      <c r="F7" s="38">
        <v>46286.0</v>
      </c>
      <c r="G7" s="17" t="s">
        <v>678</v>
      </c>
      <c r="H7" s="17"/>
    </row>
    <row r="8">
      <c r="A8" s="15" t="s">
        <v>694</v>
      </c>
      <c r="B8" s="17" t="s">
        <v>695</v>
      </c>
      <c r="C8" s="30" t="s">
        <v>696</v>
      </c>
      <c r="D8" s="30" t="s">
        <v>693</v>
      </c>
      <c r="E8" s="17" t="s">
        <v>688</v>
      </c>
      <c r="F8" s="39">
        <v>46285.0</v>
      </c>
      <c r="G8" s="17" t="s">
        <v>678</v>
      </c>
      <c r="H8" s="30" t="s">
        <v>697</v>
      </c>
    </row>
    <row r="9">
      <c r="A9" s="15" t="s">
        <v>505</v>
      </c>
      <c r="B9" s="17" t="s">
        <v>698</v>
      </c>
      <c r="C9" s="30" t="s">
        <v>699</v>
      </c>
      <c r="D9" s="30" t="s">
        <v>693</v>
      </c>
      <c r="E9" s="17" t="s">
        <v>700</v>
      </c>
      <c r="F9" s="38">
        <v>46289.0</v>
      </c>
      <c r="G9" s="17" t="s">
        <v>701</v>
      </c>
      <c r="H9" s="30" t="s">
        <v>702</v>
      </c>
    </row>
    <row r="10">
      <c r="A10" s="15" t="s">
        <v>703</v>
      </c>
      <c r="B10" s="17" t="s">
        <v>704</v>
      </c>
      <c r="C10" s="17" t="s">
        <v>705</v>
      </c>
      <c r="D10" s="17" t="s">
        <v>706</v>
      </c>
      <c r="E10" s="17" t="s">
        <v>707</v>
      </c>
      <c r="F10" s="17" t="s">
        <v>708</v>
      </c>
      <c r="G10" s="17" t="s">
        <v>709</v>
      </c>
      <c r="H10" s="17" t="s">
        <v>710</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3:$H$10"/>
  <mergeCells count="2">
    <mergeCell ref="A1:H1"/>
    <mergeCell ref="A2:H2"/>
  </mergeCells>
  <printOptions/>
  <pageMargins bottom="1.0" footer="0.0" header="0.0" left="0.75" right="0.75" top="1.0"/>
  <pageSetup paperSize="9" orientation="portrait"/>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3.0" topLeftCell="A4" activePane="bottomLeft" state="frozen"/>
      <selection activeCell="B5" sqref="B5" pane="bottomLeft"/>
    </sheetView>
  </sheetViews>
  <sheetFormatPr customHeight="1" defaultColWidth="12.63" defaultRowHeight="15.0"/>
  <cols>
    <col customWidth="1" min="1" max="1" width="8.0"/>
    <col customWidth="1" min="2" max="2" width="10.0"/>
    <col customWidth="1" min="3" max="3" width="22.0"/>
    <col customWidth="1" min="4" max="4" width="17.0"/>
    <col customWidth="1" min="5" max="5" width="14.0"/>
    <col customWidth="1" min="6" max="6" width="16.0"/>
    <col customWidth="1" min="7" max="7" width="14.0"/>
    <col customWidth="1" min="8" max="8" width="22.0"/>
    <col customWidth="1" min="9" max="9" width="26.0"/>
    <col customWidth="1" min="10" max="10" width="20.0"/>
    <col customWidth="1" min="11" max="12" width="16.0"/>
    <col customWidth="1" min="13" max="13" width="45.0"/>
    <col customWidth="1" min="14" max="26" width="8.63"/>
  </cols>
  <sheetData>
    <row r="1" ht="25.5" customHeight="1">
      <c r="A1" s="1" t="s">
        <v>711</v>
      </c>
      <c r="B1" s="2"/>
      <c r="C1" s="2"/>
      <c r="D1" s="2"/>
      <c r="E1" s="2"/>
      <c r="F1" s="2"/>
      <c r="G1" s="2"/>
      <c r="H1" s="2"/>
      <c r="I1" s="2"/>
      <c r="J1" s="2"/>
      <c r="K1" s="2"/>
      <c r="L1" s="2"/>
      <c r="M1" s="3"/>
    </row>
    <row r="2" ht="31.5" customHeight="1">
      <c r="A2" s="8" t="s">
        <v>712</v>
      </c>
      <c r="B2" s="2"/>
      <c r="C2" s="2"/>
      <c r="D2" s="2"/>
      <c r="E2" s="2"/>
      <c r="F2" s="2"/>
      <c r="G2" s="2"/>
      <c r="H2" s="2"/>
      <c r="I2" s="2"/>
      <c r="J2" s="2"/>
      <c r="K2" s="2"/>
      <c r="L2" s="2"/>
      <c r="M2" s="3"/>
    </row>
    <row r="3" ht="39.0" customHeight="1">
      <c r="A3" s="10" t="s">
        <v>714</v>
      </c>
      <c r="B3" s="10" t="s">
        <v>678</v>
      </c>
      <c r="C3" s="10" t="s">
        <v>715</v>
      </c>
      <c r="D3" s="10" t="s">
        <v>716</v>
      </c>
      <c r="E3" s="10" t="s">
        <v>717</v>
      </c>
      <c r="F3" s="10" t="s">
        <v>719</v>
      </c>
      <c r="G3" s="10" t="s">
        <v>720</v>
      </c>
      <c r="H3" s="10" t="s">
        <v>721</v>
      </c>
      <c r="I3" s="10" t="s">
        <v>722</v>
      </c>
      <c r="J3" s="10" t="s">
        <v>723</v>
      </c>
      <c r="K3" s="10" t="s">
        <v>724</v>
      </c>
      <c r="L3" s="10" t="s">
        <v>725</v>
      </c>
      <c r="M3" s="10" t="s">
        <v>726</v>
      </c>
    </row>
    <row r="4">
      <c r="A4" s="15" t="s">
        <v>727</v>
      </c>
      <c r="B4" s="17" t="s">
        <v>729</v>
      </c>
      <c r="C4" s="17" t="s">
        <v>730</v>
      </c>
      <c r="D4" s="17" t="s">
        <v>731</v>
      </c>
      <c r="E4" s="17" t="s">
        <v>732</v>
      </c>
      <c r="F4" s="17" t="s">
        <v>733</v>
      </c>
      <c r="G4" s="17" t="s">
        <v>729</v>
      </c>
      <c r="H4" s="17" t="s">
        <v>734</v>
      </c>
      <c r="I4" s="17" t="s">
        <v>736</v>
      </c>
      <c r="J4" s="17" t="s">
        <v>737</v>
      </c>
      <c r="K4" s="17">
        <v>2.0</v>
      </c>
      <c r="L4" s="17">
        <v>4.0</v>
      </c>
      <c r="M4" s="17" t="s">
        <v>739</v>
      </c>
    </row>
    <row r="5">
      <c r="A5" s="15" t="s">
        <v>740</v>
      </c>
      <c r="B5" s="17" t="s">
        <v>729</v>
      </c>
      <c r="C5" s="17" t="s">
        <v>741</v>
      </c>
      <c r="D5" s="17" t="s">
        <v>742</v>
      </c>
      <c r="E5" s="17" t="s">
        <v>743</v>
      </c>
      <c r="F5" s="17" t="s">
        <v>733</v>
      </c>
      <c r="G5" s="17" t="s">
        <v>729</v>
      </c>
      <c r="H5" s="17" t="s">
        <v>734</v>
      </c>
      <c r="I5" s="17" t="s">
        <v>744</v>
      </c>
      <c r="J5" s="17" t="s">
        <v>745</v>
      </c>
      <c r="K5" s="17">
        <v>4.0</v>
      </c>
      <c r="L5" s="17">
        <v>3.0</v>
      </c>
      <c r="M5" s="17" t="s">
        <v>746</v>
      </c>
    </row>
    <row r="6">
      <c r="A6" s="15" t="s">
        <v>748</v>
      </c>
      <c r="B6" s="17" t="s">
        <v>729</v>
      </c>
      <c r="C6" s="17" t="s">
        <v>749</v>
      </c>
      <c r="D6" s="17" t="s">
        <v>750</v>
      </c>
      <c r="E6" s="17" t="s">
        <v>732</v>
      </c>
      <c r="F6" s="17" t="s">
        <v>733</v>
      </c>
      <c r="G6" s="17" t="s">
        <v>729</v>
      </c>
      <c r="H6" s="17" t="s">
        <v>734</v>
      </c>
      <c r="I6" s="17" t="s">
        <v>751</v>
      </c>
      <c r="J6" s="17" t="s">
        <v>737</v>
      </c>
      <c r="K6" s="17">
        <v>3.0</v>
      </c>
      <c r="L6" s="17">
        <v>4.0</v>
      </c>
      <c r="M6" s="17"/>
    </row>
    <row r="7">
      <c r="A7" s="15" t="s">
        <v>755</v>
      </c>
      <c r="B7" s="17" t="s">
        <v>729</v>
      </c>
      <c r="C7" s="17" t="s">
        <v>749</v>
      </c>
      <c r="D7" s="17" t="s">
        <v>758</v>
      </c>
      <c r="E7" s="17" t="s">
        <v>732</v>
      </c>
      <c r="F7" s="17" t="s">
        <v>759</v>
      </c>
      <c r="G7" s="17" t="s">
        <v>729</v>
      </c>
      <c r="H7" s="17" t="s">
        <v>760</v>
      </c>
      <c r="I7" s="17" t="s">
        <v>762</v>
      </c>
      <c r="J7" s="17" t="s">
        <v>745</v>
      </c>
      <c r="K7" s="17">
        <v>2.0</v>
      </c>
      <c r="L7" s="17">
        <v>4.0</v>
      </c>
      <c r="M7" s="17"/>
    </row>
    <row r="8">
      <c r="A8" s="15" t="s">
        <v>763</v>
      </c>
      <c r="B8" s="17" t="s">
        <v>729</v>
      </c>
      <c r="C8" s="17" t="s">
        <v>749</v>
      </c>
      <c r="D8" s="17" t="s">
        <v>766</v>
      </c>
      <c r="E8" s="17" t="s">
        <v>732</v>
      </c>
      <c r="F8" s="17" t="s">
        <v>733</v>
      </c>
      <c r="G8" s="17" t="s">
        <v>729</v>
      </c>
      <c r="H8" s="17" t="s">
        <v>760</v>
      </c>
      <c r="I8" s="17" t="s">
        <v>751</v>
      </c>
      <c r="J8" s="17" t="s">
        <v>737</v>
      </c>
      <c r="K8" s="17">
        <v>2.0</v>
      </c>
      <c r="L8" s="17">
        <v>5.0</v>
      </c>
      <c r="M8" s="17"/>
    </row>
    <row r="10" ht="15.0" customHeight="1">
      <c r="A10" s="44" t="s">
        <v>771</v>
      </c>
      <c r="B10" s="45"/>
      <c r="C10" s="45"/>
      <c r="D10" s="46"/>
      <c r="E10" s="10" t="s">
        <v>779</v>
      </c>
    </row>
    <row r="11" ht="15.0" customHeight="1">
      <c r="A11" s="49" t="s">
        <v>781</v>
      </c>
      <c r="B11" s="50"/>
      <c r="C11" s="50"/>
      <c r="D11" s="52"/>
      <c r="E11" s="54">
        <f>COUNTIF($B$4:$B$8,"Yes")</f>
        <v>5</v>
      </c>
    </row>
    <row r="12" ht="15.0" customHeight="1">
      <c r="A12" s="49" t="s">
        <v>812</v>
      </c>
      <c r="B12" s="50"/>
      <c r="C12" s="50"/>
      <c r="D12" s="52"/>
      <c r="E12" s="54">
        <f>COUNTIFS($B$4:$B$8,"Yes",$E$4:$E$8,"2-3 weeks")</f>
        <v>4</v>
      </c>
    </row>
    <row r="13" ht="15.0" customHeight="1">
      <c r="A13" s="49" t="s">
        <v>829</v>
      </c>
      <c r="B13" s="50"/>
      <c r="C13" s="50"/>
      <c r="D13" s="52"/>
      <c r="E13" s="54">
        <f>COUNTIFS($B$4:$B$8,"Yes",$E$4:$E$8,"More than a month")</f>
        <v>1</v>
      </c>
    </row>
    <row r="14" ht="15.0" customHeight="1">
      <c r="A14" s="49" t="s">
        <v>841</v>
      </c>
      <c r="B14" s="50"/>
      <c r="C14" s="50"/>
      <c r="D14" s="52"/>
      <c r="E14" s="54">
        <f>COUNTIFS($B$4:$B$8,"Yes",$F$4:$F$8,"Specific shifts")</f>
        <v>4</v>
      </c>
    </row>
    <row r="15" ht="15.0" customHeight="1">
      <c r="A15" s="49" t="s">
        <v>852</v>
      </c>
      <c r="B15" s="50"/>
      <c r="C15" s="50"/>
      <c r="D15" s="52"/>
      <c r="E15" s="54">
        <f>COUNTIFS($B$4:$B$8,"Yes",$F$4:$F$8,"Specific time ranges")</f>
        <v>1</v>
      </c>
    </row>
    <row r="16" ht="15.0" customHeight="1">
      <c r="A16" s="49" t="s">
        <v>862</v>
      </c>
      <c r="B16" s="50"/>
      <c r="C16" s="50"/>
      <c r="D16" s="52"/>
      <c r="E16" s="54">
        <f>COUNTIFS($B$4:$B$8,"Yes",$G$4:$G$8,"Yes")</f>
        <v>5</v>
      </c>
    </row>
    <row r="17" ht="15.0" customHeight="1">
      <c r="A17" s="49" t="s">
        <v>871</v>
      </c>
      <c r="B17" s="50"/>
      <c r="C17" s="50"/>
      <c r="D17" s="52"/>
      <c r="E17" s="54">
        <f>COUNTIFS($B$4:$B$8,"Yes",$H$4:$H$8,"My assigned work base only")</f>
        <v>3</v>
      </c>
    </row>
    <row r="18" ht="15.0" customHeight="1">
      <c r="A18" s="49" t="s">
        <v>885</v>
      </c>
      <c r="B18" s="50"/>
      <c r="C18" s="50"/>
      <c r="D18" s="52"/>
      <c r="E18" s="54">
        <f>COUNTIFS($B$4:$B$8,"Yes",$H$4:$H$8,"None of these")</f>
        <v>2</v>
      </c>
    </row>
    <row r="19" ht="15.0" customHeight="1">
      <c r="A19" s="49" t="s">
        <v>897</v>
      </c>
      <c r="B19" s="50"/>
      <c r="C19" s="50"/>
      <c r="D19" s="52"/>
      <c r="E19" s="54">
        <f>COUNTIFS($B$4:$B$8,"Yes",$H$4:$H$8,"Live GPS tracking")</f>
        <v>0</v>
      </c>
    </row>
    <row r="20" ht="15.0" customHeight="1">
      <c r="A20" s="49" t="s">
        <v>908</v>
      </c>
      <c r="B20" s="50"/>
      <c r="C20" s="50"/>
      <c r="D20" s="52"/>
      <c r="E20" s="54">
        <f>COUNTIFS($B$4:$B$8,"Yes",$I$4:$I$8,"*Shift timing*")</f>
        <v>5</v>
      </c>
    </row>
    <row r="21" ht="15.0" customHeight="1">
      <c r="A21" s="49" t="s">
        <v>916</v>
      </c>
      <c r="B21" s="50"/>
      <c r="C21" s="50"/>
      <c r="D21" s="52"/>
      <c r="E21" s="54">
        <f>COUNTIFS($B$4:$B$8,"Yes",$I$4:$I$8,"*Type of job*")</f>
        <v>2</v>
      </c>
    </row>
    <row r="22" ht="15.0" customHeight="1">
      <c r="A22" s="49" t="s">
        <v>926</v>
      </c>
      <c r="B22" s="50"/>
      <c r="C22" s="50"/>
      <c r="D22" s="52"/>
      <c r="E22" s="54">
        <f>COUNTIFS($B$4:$B$8,"Yes",$I$4:$I$8,"*colleagues*")</f>
        <v>1</v>
      </c>
    </row>
    <row r="23" ht="15.0" customHeight="1">
      <c r="A23" s="49" t="s">
        <v>936</v>
      </c>
      <c r="B23" s="50"/>
      <c r="C23" s="50"/>
      <c r="D23" s="52"/>
      <c r="E23" s="54">
        <f>COUNTIFS($B$4:$B$8,"Yes",$I$4:$I$8,"*Which ambulance*")</f>
        <v>1</v>
      </c>
    </row>
    <row r="24" ht="15.0" customHeight="1">
      <c r="A24" s="49" t="s">
        <v>946</v>
      </c>
      <c r="B24" s="50"/>
      <c r="C24" s="50"/>
      <c r="D24" s="52"/>
      <c r="E24" s="54">
        <f>COUNTIFS($B$4:$B$8,"Yes",$J$4:$J$8,"1 day ahead")</f>
        <v>3</v>
      </c>
    </row>
    <row r="25" ht="15.0" customHeight="1">
      <c r="A25" s="49" t="s">
        <v>964</v>
      </c>
      <c r="B25" s="50"/>
      <c r="C25" s="50"/>
      <c r="D25" s="52"/>
      <c r="E25" s="54">
        <f>COUNTIFS($B$4:$B$8,"Yes",$J$4:$J$8,"2-3 days ahead")</f>
        <v>2</v>
      </c>
    </row>
    <row r="26" ht="15.0" customHeight="1">
      <c r="A26" s="49" t="s">
        <v>974</v>
      </c>
      <c r="B26" s="50"/>
      <c r="C26" s="50"/>
      <c r="D26" s="52"/>
      <c r="E26" s="60">
        <f>AVERAGEIFS($K$4:$K$8,$B$4:$B$8,"Yes")</f>
        <v>2.6</v>
      </c>
    </row>
    <row r="27" ht="15.0" customHeight="1">
      <c r="A27" s="49" t="s">
        <v>1000</v>
      </c>
      <c r="B27" s="50"/>
      <c r="C27" s="50"/>
      <c r="D27" s="52"/>
      <c r="E27" s="60">
        <f>AVERAGEIFS($L$4:$L$8,$B$4:$B$8,"Yes")</f>
        <v>4</v>
      </c>
    </row>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3:$M$8"/>
  <mergeCells count="20">
    <mergeCell ref="A1:M1"/>
    <mergeCell ref="A2:M2"/>
    <mergeCell ref="A10:D10"/>
    <mergeCell ref="A11:D11"/>
    <mergeCell ref="A12:D12"/>
    <mergeCell ref="A13:D13"/>
    <mergeCell ref="A14:D14"/>
    <mergeCell ref="A22:D22"/>
    <mergeCell ref="A23:D23"/>
    <mergeCell ref="A24:D24"/>
    <mergeCell ref="A25:D25"/>
    <mergeCell ref="A26:D26"/>
    <mergeCell ref="A27:D27"/>
    <mergeCell ref="A15:D15"/>
    <mergeCell ref="A16:D16"/>
    <mergeCell ref="A17:D17"/>
    <mergeCell ref="A18:D18"/>
    <mergeCell ref="A19:D19"/>
    <mergeCell ref="A20:D20"/>
    <mergeCell ref="A21:D21"/>
  </mergeCells>
  <printOptions/>
  <pageMargins bottom="1.0" footer="0.0" header="0.0" left="0.75" right="0.75" top="1.0"/>
  <pageSetup paperSize="9" orientation="portrait"/>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00FF"/>
    <pageSetUpPr/>
  </sheetPr>
  <sheetViews>
    <sheetView workbookViewId="0">
      <pane ySplit="3.0" topLeftCell="A4" activePane="bottomLeft" state="frozen"/>
      <selection activeCell="B5" sqref="B5" pane="bottomLeft"/>
    </sheetView>
  </sheetViews>
  <sheetFormatPr customHeight="1" defaultColWidth="12.63" defaultRowHeight="15.0"/>
  <cols>
    <col customWidth="1" min="1" max="1" width="10.75"/>
    <col customWidth="1" min="2" max="2" width="70.0"/>
    <col customWidth="1" min="3" max="3" width="22.0"/>
    <col customWidth="1" min="4" max="4" width="30.0"/>
    <col customWidth="1" min="5" max="5" width="11.0"/>
    <col customWidth="1" min="6" max="6" width="30.38"/>
    <col customWidth="1" min="7" max="7" width="34.0"/>
    <col customWidth="1" min="8" max="26" width="8.63"/>
  </cols>
  <sheetData>
    <row r="1" ht="25.5" customHeight="1">
      <c r="A1" s="1" t="s">
        <v>713</v>
      </c>
      <c r="B1" s="2"/>
      <c r="C1" s="2"/>
      <c r="D1" s="2"/>
      <c r="E1" s="2"/>
      <c r="F1" s="2"/>
      <c r="G1" s="3"/>
    </row>
    <row r="2" ht="31.5" customHeight="1">
      <c r="A2" s="8" t="s">
        <v>718</v>
      </c>
      <c r="B2" s="2"/>
      <c r="C2" s="2"/>
      <c r="D2" s="2"/>
      <c r="E2" s="2"/>
      <c r="F2" s="2"/>
      <c r="G2" s="3"/>
    </row>
    <row r="3" ht="39.0" customHeight="1">
      <c r="A3" s="10" t="s">
        <v>12</v>
      </c>
      <c r="B3" s="10" t="s">
        <v>728</v>
      </c>
      <c r="C3" s="10" t="s">
        <v>668</v>
      </c>
      <c r="D3" s="10" t="s">
        <v>28</v>
      </c>
      <c r="E3" s="10" t="s">
        <v>32</v>
      </c>
      <c r="F3" s="10" t="s">
        <v>33</v>
      </c>
      <c r="G3" s="10" t="s">
        <v>735</v>
      </c>
    </row>
    <row r="4">
      <c r="A4" s="40" t="s">
        <v>738</v>
      </c>
      <c r="B4" s="41" t="s">
        <v>747</v>
      </c>
      <c r="C4" s="41" t="s">
        <v>752</v>
      </c>
      <c r="D4" s="41" t="s">
        <v>753</v>
      </c>
      <c r="E4" s="41" t="s">
        <v>754</v>
      </c>
      <c r="F4" s="41" t="s">
        <v>756</v>
      </c>
      <c r="G4" s="41" t="s">
        <v>757</v>
      </c>
    </row>
    <row r="5">
      <c r="A5" s="43" t="s">
        <v>761</v>
      </c>
      <c r="B5" s="41" t="s">
        <v>764</v>
      </c>
      <c r="C5" s="41" t="s">
        <v>752</v>
      </c>
      <c r="D5" s="41" t="s">
        <v>765</v>
      </c>
      <c r="E5" s="41" t="s">
        <v>767</v>
      </c>
      <c r="F5" s="41" t="s">
        <v>756</v>
      </c>
      <c r="G5" s="41" t="s">
        <v>757</v>
      </c>
    </row>
    <row r="6">
      <c r="A6" s="40" t="s">
        <v>768</v>
      </c>
      <c r="B6" s="41" t="s">
        <v>769</v>
      </c>
      <c r="C6" s="41" t="s">
        <v>752</v>
      </c>
      <c r="D6" s="41" t="s">
        <v>770</v>
      </c>
      <c r="E6" s="41" t="s">
        <v>754</v>
      </c>
      <c r="F6" s="41" t="s">
        <v>756</v>
      </c>
      <c r="G6" s="41" t="s">
        <v>757</v>
      </c>
    </row>
    <row r="7">
      <c r="A7" s="43" t="s">
        <v>772</v>
      </c>
      <c r="B7" s="41" t="s">
        <v>773</v>
      </c>
      <c r="C7" s="41" t="s">
        <v>752</v>
      </c>
      <c r="D7" s="41" t="s">
        <v>774</v>
      </c>
      <c r="E7" s="41" t="s">
        <v>767</v>
      </c>
      <c r="F7" s="41" t="s">
        <v>756</v>
      </c>
      <c r="G7" s="41" t="s">
        <v>757</v>
      </c>
    </row>
    <row r="8">
      <c r="A8" s="40" t="s">
        <v>775</v>
      </c>
      <c r="B8" s="41" t="s">
        <v>776</v>
      </c>
      <c r="C8" s="41" t="s">
        <v>752</v>
      </c>
      <c r="D8" s="41" t="s">
        <v>774</v>
      </c>
      <c r="E8" s="41" t="s">
        <v>754</v>
      </c>
      <c r="F8" s="41" t="s">
        <v>756</v>
      </c>
      <c r="G8" s="41" t="s">
        <v>757</v>
      </c>
    </row>
    <row r="9">
      <c r="A9" s="43" t="s">
        <v>777</v>
      </c>
      <c r="B9" s="41" t="s">
        <v>778</v>
      </c>
      <c r="C9" s="41" t="s">
        <v>752</v>
      </c>
      <c r="D9" s="41" t="s">
        <v>765</v>
      </c>
      <c r="E9" s="41" t="s">
        <v>767</v>
      </c>
      <c r="F9" s="41" t="s">
        <v>756</v>
      </c>
      <c r="G9" s="41" t="s">
        <v>757</v>
      </c>
    </row>
    <row r="10">
      <c r="A10" s="48" t="s">
        <v>780</v>
      </c>
      <c r="B10" s="53" t="s">
        <v>783</v>
      </c>
      <c r="C10" s="53" t="s">
        <v>752</v>
      </c>
      <c r="D10" s="53" t="s">
        <v>785</v>
      </c>
      <c r="E10" s="53" t="s">
        <v>754</v>
      </c>
      <c r="F10" s="53" t="s">
        <v>787</v>
      </c>
      <c r="G10" s="53" t="s">
        <v>788</v>
      </c>
    </row>
    <row r="11">
      <c r="A11" s="43" t="s">
        <v>789</v>
      </c>
      <c r="B11" s="53" t="s">
        <v>790</v>
      </c>
      <c r="C11" s="53" t="s">
        <v>752</v>
      </c>
      <c r="D11" s="53" t="s">
        <v>791</v>
      </c>
      <c r="E11" s="53" t="s">
        <v>754</v>
      </c>
      <c r="F11" s="53" t="s">
        <v>756</v>
      </c>
      <c r="G11" s="53" t="s">
        <v>794</v>
      </c>
    </row>
    <row r="12">
      <c r="A12" s="40" t="s">
        <v>795</v>
      </c>
      <c r="B12" s="41" t="s">
        <v>797</v>
      </c>
      <c r="C12" s="41" t="s">
        <v>752</v>
      </c>
      <c r="D12" s="41" t="s">
        <v>799</v>
      </c>
      <c r="E12" s="41" t="s">
        <v>754</v>
      </c>
      <c r="F12" s="41" t="s">
        <v>756</v>
      </c>
      <c r="G12" s="41" t="s">
        <v>796</v>
      </c>
    </row>
    <row r="13">
      <c r="A13" s="40" t="s">
        <v>802</v>
      </c>
      <c r="B13" s="41" t="s">
        <v>803</v>
      </c>
      <c r="C13" s="41" t="s">
        <v>752</v>
      </c>
      <c r="D13" s="41" t="s">
        <v>804</v>
      </c>
      <c r="E13" s="41" t="s">
        <v>754</v>
      </c>
      <c r="F13" s="41" t="s">
        <v>756</v>
      </c>
      <c r="G13" s="41" t="s">
        <v>796</v>
      </c>
    </row>
    <row r="14">
      <c r="A14" s="40" t="s">
        <v>807</v>
      </c>
      <c r="B14" s="41" t="s">
        <v>808</v>
      </c>
      <c r="C14" s="41" t="s">
        <v>752</v>
      </c>
      <c r="D14" s="41" t="s">
        <v>810</v>
      </c>
      <c r="E14" s="41" t="s">
        <v>754</v>
      </c>
      <c r="F14" s="41" t="s">
        <v>756</v>
      </c>
      <c r="G14" s="41" t="s">
        <v>796</v>
      </c>
    </row>
    <row r="15">
      <c r="A15" s="40" t="s">
        <v>567</v>
      </c>
      <c r="B15" s="41" t="s">
        <v>814</v>
      </c>
      <c r="C15" s="41" t="s">
        <v>752</v>
      </c>
      <c r="D15" s="41" t="s">
        <v>815</v>
      </c>
      <c r="E15" s="41" t="s">
        <v>754</v>
      </c>
      <c r="F15" s="41" t="s">
        <v>756</v>
      </c>
      <c r="G15" s="41" t="s">
        <v>813</v>
      </c>
    </row>
    <row r="16">
      <c r="A16" s="40" t="s">
        <v>818</v>
      </c>
      <c r="B16" s="41" t="s">
        <v>819</v>
      </c>
      <c r="C16" s="41" t="s">
        <v>752</v>
      </c>
      <c r="D16" s="41" t="s">
        <v>821</v>
      </c>
      <c r="E16" s="41" t="s">
        <v>754</v>
      </c>
      <c r="F16" s="41" t="s">
        <v>756</v>
      </c>
      <c r="G16" s="41" t="s">
        <v>820</v>
      </c>
    </row>
    <row r="17">
      <c r="A17" s="40" t="s">
        <v>824</v>
      </c>
      <c r="B17" s="41" t="s">
        <v>825</v>
      </c>
      <c r="C17" s="41" t="s">
        <v>752</v>
      </c>
      <c r="D17" s="41" t="s">
        <v>827</v>
      </c>
      <c r="E17" s="41" t="s">
        <v>754</v>
      </c>
      <c r="F17" s="41" t="s">
        <v>756</v>
      </c>
      <c r="G17" s="41" t="s">
        <v>828</v>
      </c>
    </row>
    <row r="18">
      <c r="A18" s="40" t="s">
        <v>134</v>
      </c>
      <c r="B18" s="41" t="s">
        <v>830</v>
      </c>
      <c r="C18" s="41" t="s">
        <v>752</v>
      </c>
      <c r="D18" s="41" t="s">
        <v>831</v>
      </c>
      <c r="E18" s="41" t="s">
        <v>754</v>
      </c>
      <c r="F18" s="41" t="s">
        <v>756</v>
      </c>
      <c r="G18" s="41" t="s">
        <v>826</v>
      </c>
    </row>
    <row r="19">
      <c r="A19" s="48" t="s">
        <v>832</v>
      </c>
      <c r="B19" s="53" t="s">
        <v>834</v>
      </c>
      <c r="C19" s="53" t="s">
        <v>752</v>
      </c>
      <c r="D19" s="53" t="s">
        <v>835</v>
      </c>
      <c r="E19" s="53" t="s">
        <v>754</v>
      </c>
      <c r="F19" s="53" t="s">
        <v>756</v>
      </c>
      <c r="G19" s="53" t="s">
        <v>788</v>
      </c>
    </row>
    <row r="20">
      <c r="A20" s="48" t="s">
        <v>837</v>
      </c>
      <c r="B20" s="53" t="s">
        <v>838</v>
      </c>
      <c r="C20" s="53" t="s">
        <v>752</v>
      </c>
      <c r="D20" s="53" t="s">
        <v>839</v>
      </c>
      <c r="E20" s="53" t="s">
        <v>754</v>
      </c>
      <c r="F20" s="53" t="s">
        <v>756</v>
      </c>
      <c r="G20" s="53" t="s">
        <v>794</v>
      </c>
    </row>
    <row r="21" ht="15.75" customHeight="1">
      <c r="A21" s="57" t="s">
        <v>843</v>
      </c>
      <c r="B21" s="53" t="s">
        <v>844</v>
      </c>
      <c r="C21" s="53" t="s">
        <v>752</v>
      </c>
      <c r="D21" s="53" t="s">
        <v>845</v>
      </c>
      <c r="E21" s="53" t="s">
        <v>754</v>
      </c>
      <c r="F21" s="53" t="s">
        <v>847</v>
      </c>
      <c r="G21" s="53" t="s">
        <v>788</v>
      </c>
    </row>
    <row r="22" ht="15.75" customHeight="1">
      <c r="A22" s="58" t="s">
        <v>848</v>
      </c>
      <c r="B22" s="41" t="s">
        <v>851</v>
      </c>
      <c r="C22" s="41" t="s">
        <v>752</v>
      </c>
      <c r="D22" s="41" t="s">
        <v>854</v>
      </c>
      <c r="E22" s="41" t="s">
        <v>754</v>
      </c>
      <c r="F22" s="41" t="s">
        <v>855</v>
      </c>
      <c r="G22" s="41" t="s">
        <v>820</v>
      </c>
    </row>
    <row r="23" ht="15.75" customHeight="1">
      <c r="A23" s="48" t="s">
        <v>511</v>
      </c>
      <c r="B23" s="53" t="s">
        <v>858</v>
      </c>
      <c r="C23" s="53" t="s">
        <v>752</v>
      </c>
      <c r="D23" s="53" t="s">
        <v>859</v>
      </c>
      <c r="E23" s="53" t="s">
        <v>767</v>
      </c>
      <c r="F23" s="53" t="s">
        <v>756</v>
      </c>
      <c r="G23" s="53" t="s">
        <v>788</v>
      </c>
    </row>
    <row r="24" ht="15.75" customHeight="1">
      <c r="A24" s="40" t="s">
        <v>860</v>
      </c>
      <c r="B24" s="59" t="s">
        <v>864</v>
      </c>
      <c r="C24" s="41" t="s">
        <v>752</v>
      </c>
      <c r="D24" s="41" t="s">
        <v>865</v>
      </c>
      <c r="E24" s="41" t="s">
        <v>754</v>
      </c>
      <c r="F24" s="41" t="s">
        <v>756</v>
      </c>
      <c r="G24" s="41" t="s">
        <v>853</v>
      </c>
    </row>
    <row r="25" ht="15.75" customHeight="1">
      <c r="A25" s="40" t="s">
        <v>867</v>
      </c>
      <c r="B25" s="41" t="s">
        <v>868</v>
      </c>
      <c r="C25" s="41" t="s">
        <v>752</v>
      </c>
      <c r="D25" s="41" t="s">
        <v>870</v>
      </c>
      <c r="E25" s="41" t="s">
        <v>754</v>
      </c>
      <c r="F25" s="41" t="s">
        <v>756</v>
      </c>
      <c r="G25" s="41" t="s">
        <v>820</v>
      </c>
    </row>
    <row r="26" ht="15.75" customHeight="1">
      <c r="A26" s="48" t="s">
        <v>872</v>
      </c>
      <c r="B26" s="53" t="s">
        <v>875</v>
      </c>
      <c r="C26" s="53" t="s">
        <v>752</v>
      </c>
      <c r="D26" s="53" t="s">
        <v>877</v>
      </c>
      <c r="E26" s="53" t="s">
        <v>754</v>
      </c>
      <c r="F26" s="53" t="s">
        <v>756</v>
      </c>
      <c r="G26" s="53" t="s">
        <v>794</v>
      </c>
    </row>
    <row r="27" ht="15.75" customHeight="1">
      <c r="A27" s="48" t="s">
        <v>878</v>
      </c>
      <c r="B27" s="53" t="s">
        <v>880</v>
      </c>
      <c r="C27" s="53" t="s">
        <v>752</v>
      </c>
      <c r="D27" s="53" t="s">
        <v>882</v>
      </c>
      <c r="E27" s="53" t="s">
        <v>754</v>
      </c>
      <c r="F27" s="53" t="s">
        <v>756</v>
      </c>
      <c r="G27" s="53" t="s">
        <v>794</v>
      </c>
    </row>
    <row r="28" ht="15.75" customHeight="1">
      <c r="A28" s="48" t="s">
        <v>884</v>
      </c>
      <c r="B28" s="53" t="s">
        <v>887</v>
      </c>
      <c r="C28" s="53" t="s">
        <v>752</v>
      </c>
      <c r="D28" s="53" t="s">
        <v>889</v>
      </c>
      <c r="E28" s="53" t="s">
        <v>754</v>
      </c>
      <c r="F28" s="53" t="s">
        <v>756</v>
      </c>
      <c r="G28" s="53" t="s">
        <v>788</v>
      </c>
    </row>
    <row r="29" ht="15.75" customHeight="1">
      <c r="A29" s="40" t="s">
        <v>891</v>
      </c>
      <c r="B29" s="41" t="s">
        <v>893</v>
      </c>
      <c r="C29" s="41" t="s">
        <v>752</v>
      </c>
      <c r="D29" s="41" t="s">
        <v>895</v>
      </c>
      <c r="E29" s="41" t="s">
        <v>754</v>
      </c>
      <c r="F29" s="41" t="s">
        <v>756</v>
      </c>
      <c r="G29" s="41" t="s">
        <v>883</v>
      </c>
    </row>
    <row r="30" ht="15.75" customHeight="1">
      <c r="A30" s="40" t="s">
        <v>898</v>
      </c>
      <c r="B30" s="41" t="s">
        <v>900</v>
      </c>
      <c r="C30" s="41" t="s">
        <v>752</v>
      </c>
      <c r="D30" s="41" t="s">
        <v>902</v>
      </c>
      <c r="E30" s="41" t="s">
        <v>754</v>
      </c>
      <c r="F30" s="41" t="s">
        <v>756</v>
      </c>
      <c r="G30" s="41" t="s">
        <v>883</v>
      </c>
    </row>
    <row r="31" ht="15.75" customHeight="1">
      <c r="A31" s="48" t="s">
        <v>906</v>
      </c>
      <c r="B31" s="53" t="s">
        <v>907</v>
      </c>
      <c r="C31" s="53" t="s">
        <v>752</v>
      </c>
      <c r="D31" s="53" t="s">
        <v>909</v>
      </c>
      <c r="E31" s="53" t="s">
        <v>754</v>
      </c>
      <c r="F31" s="53" t="s">
        <v>756</v>
      </c>
      <c r="G31" s="53" t="s">
        <v>788</v>
      </c>
    </row>
    <row r="32" ht="15.75" customHeight="1">
      <c r="A32" s="48" t="s">
        <v>912</v>
      </c>
      <c r="B32" s="53" t="s">
        <v>913</v>
      </c>
      <c r="C32" s="53" t="s">
        <v>752</v>
      </c>
      <c r="D32" s="53" t="s">
        <v>914</v>
      </c>
      <c r="E32" s="53" t="s">
        <v>754</v>
      </c>
      <c r="F32" s="53" t="s">
        <v>756</v>
      </c>
      <c r="G32" s="53" t="s">
        <v>788</v>
      </c>
    </row>
    <row r="33" ht="15.75" customHeight="1">
      <c r="A33" s="48" t="s">
        <v>915</v>
      </c>
      <c r="B33" s="53" t="s">
        <v>917</v>
      </c>
      <c r="C33" s="53" t="s">
        <v>752</v>
      </c>
      <c r="D33" s="53" t="s">
        <v>919</v>
      </c>
      <c r="E33" s="53" t="s">
        <v>754</v>
      </c>
      <c r="F33" s="53" t="s">
        <v>756</v>
      </c>
      <c r="G33" s="53" t="s">
        <v>788</v>
      </c>
    </row>
    <row r="34" ht="15.75" customHeight="1">
      <c r="A34" s="40" t="s">
        <v>921</v>
      </c>
      <c r="B34" s="41" t="s">
        <v>924</v>
      </c>
      <c r="C34" s="41" t="s">
        <v>752</v>
      </c>
      <c r="D34" s="41" t="s">
        <v>925</v>
      </c>
      <c r="E34" s="41" t="s">
        <v>754</v>
      </c>
      <c r="F34" s="41" t="s">
        <v>928</v>
      </c>
      <c r="G34" s="41" t="s">
        <v>903</v>
      </c>
    </row>
    <row r="35" ht="15.75" customHeight="1">
      <c r="A35" s="43" t="s">
        <v>931</v>
      </c>
      <c r="B35" s="53" t="s">
        <v>932</v>
      </c>
      <c r="C35" s="53" t="s">
        <v>752</v>
      </c>
      <c r="D35" s="53" t="s">
        <v>935</v>
      </c>
      <c r="E35" s="53" t="s">
        <v>767</v>
      </c>
      <c r="F35" s="53" t="s">
        <v>937</v>
      </c>
      <c r="G35" s="53" t="s">
        <v>794</v>
      </c>
    </row>
    <row r="36" ht="15.75" customHeight="1">
      <c r="A36" s="40" t="s">
        <v>251</v>
      </c>
      <c r="B36" s="41" t="s">
        <v>940</v>
      </c>
      <c r="C36" s="41" t="s">
        <v>752</v>
      </c>
      <c r="D36" s="41" t="s">
        <v>943</v>
      </c>
      <c r="E36" s="41" t="s">
        <v>754</v>
      </c>
      <c r="F36" s="41" t="s">
        <v>756</v>
      </c>
      <c r="G36" s="41" t="s">
        <v>828</v>
      </c>
    </row>
    <row r="37" ht="15.75" customHeight="1">
      <c r="A37" s="40" t="s">
        <v>590</v>
      </c>
      <c r="B37" s="41" t="s">
        <v>949</v>
      </c>
      <c r="C37" s="41" t="s">
        <v>752</v>
      </c>
      <c r="D37" s="41" t="s">
        <v>951</v>
      </c>
      <c r="E37" s="41" t="s">
        <v>754</v>
      </c>
      <c r="F37" s="41" t="s">
        <v>953</v>
      </c>
      <c r="G37" s="41" t="s">
        <v>930</v>
      </c>
    </row>
    <row r="38" ht="15.75" customHeight="1">
      <c r="A38" s="40" t="s">
        <v>958</v>
      </c>
      <c r="B38" s="41" t="s">
        <v>961</v>
      </c>
      <c r="C38" s="41" t="s">
        <v>752</v>
      </c>
      <c r="D38" s="41" t="s">
        <v>965</v>
      </c>
      <c r="E38" s="41" t="s">
        <v>754</v>
      </c>
      <c r="F38" s="41" t="s">
        <v>756</v>
      </c>
      <c r="G38" s="41" t="s">
        <v>930</v>
      </c>
    </row>
    <row r="39" ht="15.75" customHeight="1">
      <c r="A39" s="43" t="s">
        <v>140</v>
      </c>
      <c r="B39" s="53" t="s">
        <v>969</v>
      </c>
      <c r="C39" s="53" t="s">
        <v>752</v>
      </c>
      <c r="D39" s="53" t="s">
        <v>971</v>
      </c>
      <c r="E39" s="53" t="s">
        <v>767</v>
      </c>
      <c r="F39" s="53" t="s">
        <v>756</v>
      </c>
      <c r="G39" s="53" t="s">
        <v>788</v>
      </c>
    </row>
    <row r="40" ht="15.75" customHeight="1">
      <c r="A40" s="48" t="s">
        <v>536</v>
      </c>
      <c r="B40" s="53" t="s">
        <v>978</v>
      </c>
      <c r="C40" s="53" t="s">
        <v>752</v>
      </c>
      <c r="D40" s="53" t="s">
        <v>979</v>
      </c>
      <c r="E40" s="53" t="s">
        <v>767</v>
      </c>
      <c r="F40" s="53" t="s">
        <v>756</v>
      </c>
      <c r="G40" s="53" t="s">
        <v>788</v>
      </c>
    </row>
    <row r="41" ht="15.75" customHeight="1">
      <c r="A41" s="43" t="s">
        <v>984</v>
      </c>
      <c r="B41" s="41" t="s">
        <v>986</v>
      </c>
      <c r="C41" s="41" t="s">
        <v>752</v>
      </c>
      <c r="D41" s="41" t="s">
        <v>988</v>
      </c>
      <c r="E41" s="41" t="s">
        <v>754</v>
      </c>
      <c r="F41" s="41" t="s">
        <v>756</v>
      </c>
      <c r="G41" s="41" t="s">
        <v>991</v>
      </c>
    </row>
    <row r="42" ht="15.75" customHeight="1">
      <c r="A42" s="40" t="s">
        <v>992</v>
      </c>
      <c r="B42" s="41" t="s">
        <v>996</v>
      </c>
      <c r="C42" s="41" t="s">
        <v>752</v>
      </c>
      <c r="D42" s="41" t="s">
        <v>999</v>
      </c>
      <c r="E42" s="41" t="s">
        <v>754</v>
      </c>
      <c r="F42" s="41" t="s">
        <v>756</v>
      </c>
      <c r="G42" s="41" t="s">
        <v>757</v>
      </c>
    </row>
    <row r="43" ht="15.75" customHeight="1">
      <c r="A43" s="40" t="s">
        <v>954</v>
      </c>
      <c r="B43" s="41" t="s">
        <v>1006</v>
      </c>
      <c r="C43" s="41" t="s">
        <v>956</v>
      </c>
      <c r="D43" s="41" t="s">
        <v>1009</v>
      </c>
      <c r="E43" s="41" t="s">
        <v>754</v>
      </c>
      <c r="F43" s="41" t="s">
        <v>1012</v>
      </c>
      <c r="G43" s="41" t="s">
        <v>960</v>
      </c>
    </row>
    <row r="44" ht="15.75" customHeight="1">
      <c r="A44" s="40" t="s">
        <v>962</v>
      </c>
      <c r="B44" s="41" t="s">
        <v>1014</v>
      </c>
      <c r="C44" s="41" t="s">
        <v>966</v>
      </c>
      <c r="D44" s="41" t="s">
        <v>1015</v>
      </c>
      <c r="E44" s="41" t="s">
        <v>754</v>
      </c>
      <c r="F44" s="41" t="s">
        <v>756</v>
      </c>
      <c r="G44" s="41" t="s">
        <v>960</v>
      </c>
    </row>
    <row r="45" ht="15.75" customHeight="1">
      <c r="A45" s="40" t="s">
        <v>611</v>
      </c>
      <c r="B45" s="41" t="s">
        <v>1016</v>
      </c>
      <c r="C45" s="41" t="s">
        <v>966</v>
      </c>
      <c r="D45" s="41" t="s">
        <v>1017</v>
      </c>
      <c r="E45" s="41" t="s">
        <v>767</v>
      </c>
      <c r="F45" s="41" t="s">
        <v>1018</v>
      </c>
      <c r="G45" s="41" t="s">
        <v>1019</v>
      </c>
    </row>
    <row r="46" ht="15.75" customHeight="1">
      <c r="A46" s="48" t="s">
        <v>973</v>
      </c>
      <c r="B46" s="53" t="s">
        <v>1020</v>
      </c>
      <c r="C46" s="53" t="s">
        <v>976</v>
      </c>
      <c r="D46" s="53" t="s">
        <v>765</v>
      </c>
      <c r="E46" s="53" t="s">
        <v>754</v>
      </c>
      <c r="F46" s="53" t="s">
        <v>756</v>
      </c>
      <c r="G46" s="53" t="s">
        <v>794</v>
      </c>
    </row>
    <row r="47" ht="15.75" customHeight="1">
      <c r="A47" s="48" t="s">
        <v>980</v>
      </c>
      <c r="B47" s="53" t="s">
        <v>1021</v>
      </c>
      <c r="C47" s="53" t="s">
        <v>982</v>
      </c>
      <c r="D47" s="53" t="s">
        <v>1022</v>
      </c>
      <c r="E47" s="53" t="s">
        <v>754</v>
      </c>
      <c r="F47" s="53" t="s">
        <v>756</v>
      </c>
      <c r="G47" s="53" t="s">
        <v>794</v>
      </c>
    </row>
    <row r="48" ht="15.75" customHeight="1">
      <c r="A48" s="40" t="s">
        <v>985</v>
      </c>
      <c r="B48" s="41" t="s">
        <v>1023</v>
      </c>
      <c r="C48" s="41" t="s">
        <v>989</v>
      </c>
      <c r="D48" s="41" t="s">
        <v>1024</v>
      </c>
      <c r="E48" s="41" t="s">
        <v>754</v>
      </c>
      <c r="F48" s="41" t="s">
        <v>756</v>
      </c>
      <c r="G48" s="41" t="s">
        <v>991</v>
      </c>
    </row>
    <row r="49" ht="15.75" customHeight="1">
      <c r="A49" s="48" t="s">
        <v>993</v>
      </c>
      <c r="B49" s="53" t="s">
        <v>1025</v>
      </c>
      <c r="C49" s="53" t="s">
        <v>1026</v>
      </c>
      <c r="D49" s="53" t="s">
        <v>1027</v>
      </c>
      <c r="E49" s="53" t="s">
        <v>767</v>
      </c>
      <c r="F49" s="53" t="s">
        <v>998</v>
      </c>
      <c r="G49" s="53" t="s">
        <v>794</v>
      </c>
    </row>
    <row r="50" ht="15.75" customHeight="1">
      <c r="A50" s="40" t="s">
        <v>1001</v>
      </c>
      <c r="B50" s="41" t="s">
        <v>1028</v>
      </c>
      <c r="C50" s="41" t="s">
        <v>1010</v>
      </c>
      <c r="D50" s="41" t="s">
        <v>1029</v>
      </c>
      <c r="E50" s="41" t="s">
        <v>767</v>
      </c>
      <c r="F50" s="41" t="s">
        <v>1013</v>
      </c>
      <c r="G50" s="41" t="s">
        <v>960</v>
      </c>
    </row>
    <row r="51" ht="15.75" customHeight="1">
      <c r="A51" s="48" t="s">
        <v>1007</v>
      </c>
      <c r="B51" s="53" t="s">
        <v>1030</v>
      </c>
      <c r="C51" s="53" t="s">
        <v>1003</v>
      </c>
      <c r="D51" s="53" t="s">
        <v>1031</v>
      </c>
      <c r="E51" s="53" t="s">
        <v>767</v>
      </c>
      <c r="F51" s="53" t="s">
        <v>1005</v>
      </c>
      <c r="G51" s="53" t="s">
        <v>794</v>
      </c>
    </row>
    <row r="52" ht="15.75" customHeight="1">
      <c r="A52" s="48" t="s">
        <v>1032</v>
      </c>
      <c r="B52" s="53" t="s">
        <v>1033</v>
      </c>
      <c r="C52" s="53" t="s">
        <v>1034</v>
      </c>
      <c r="D52" s="53" t="s">
        <v>1035</v>
      </c>
      <c r="E52" s="53" t="s">
        <v>767</v>
      </c>
      <c r="F52" s="53" t="s">
        <v>756</v>
      </c>
      <c r="G52" s="53" t="s">
        <v>794</v>
      </c>
    </row>
    <row r="53" ht="15.75" customHeight="1">
      <c r="A53" s="48" t="s">
        <v>1036</v>
      </c>
      <c r="B53" s="53" t="s">
        <v>1037</v>
      </c>
      <c r="C53" s="53" t="s">
        <v>1038</v>
      </c>
      <c r="D53" s="53" t="s">
        <v>1039</v>
      </c>
      <c r="E53" s="53" t="s">
        <v>754</v>
      </c>
      <c r="F53" s="53" t="s">
        <v>756</v>
      </c>
      <c r="G53" s="53" t="s">
        <v>794</v>
      </c>
    </row>
    <row r="54" ht="15.75" customHeight="1">
      <c r="A54" s="40" t="s">
        <v>1040</v>
      </c>
      <c r="B54" s="41" t="s">
        <v>1041</v>
      </c>
      <c r="C54" s="41" t="s">
        <v>1038</v>
      </c>
      <c r="D54" s="41" t="s">
        <v>1042</v>
      </c>
      <c r="E54" s="41" t="s">
        <v>754</v>
      </c>
      <c r="F54" s="41" t="s">
        <v>756</v>
      </c>
      <c r="G54" s="41" t="s">
        <v>853</v>
      </c>
    </row>
    <row r="55" ht="15.75" customHeight="1">
      <c r="A55" s="40" t="s">
        <v>1043</v>
      </c>
      <c r="B55" s="41" t="s">
        <v>1044</v>
      </c>
      <c r="C55" s="41" t="s">
        <v>1038</v>
      </c>
      <c r="D55" s="41" t="s">
        <v>1045</v>
      </c>
      <c r="E55" s="41" t="s">
        <v>754</v>
      </c>
      <c r="F55" s="41" t="s">
        <v>756</v>
      </c>
      <c r="G55" s="41" t="s">
        <v>820</v>
      </c>
    </row>
    <row r="56" ht="15.75" customHeight="1">
      <c r="A56" s="40" t="s">
        <v>209</v>
      </c>
      <c r="B56" s="41" t="s">
        <v>1046</v>
      </c>
      <c r="C56" s="41" t="s">
        <v>1038</v>
      </c>
      <c r="D56" s="41" t="s">
        <v>1047</v>
      </c>
      <c r="E56" s="41" t="s">
        <v>754</v>
      </c>
      <c r="F56" s="41" t="s">
        <v>756</v>
      </c>
      <c r="G56" s="41" t="s">
        <v>828</v>
      </c>
    </row>
    <row r="57" ht="15.75" customHeight="1">
      <c r="A57" s="40" t="s">
        <v>301</v>
      </c>
      <c r="B57" s="41" t="s">
        <v>1048</v>
      </c>
      <c r="C57" s="41" t="s">
        <v>1038</v>
      </c>
      <c r="D57" s="41" t="s">
        <v>1049</v>
      </c>
      <c r="E57" s="41" t="s">
        <v>754</v>
      </c>
      <c r="F57" s="41" t="s">
        <v>756</v>
      </c>
      <c r="G57" s="41" t="s">
        <v>796</v>
      </c>
    </row>
    <row r="58" ht="15.75" customHeight="1">
      <c r="A58" s="48" t="s">
        <v>63</v>
      </c>
      <c r="B58" s="53" t="s">
        <v>1050</v>
      </c>
      <c r="C58" s="53" t="s">
        <v>1038</v>
      </c>
      <c r="D58" s="53" t="s">
        <v>1051</v>
      </c>
      <c r="E58" s="53" t="s">
        <v>754</v>
      </c>
      <c r="F58" s="53" t="s">
        <v>1052</v>
      </c>
      <c r="G58" s="53" t="s">
        <v>788</v>
      </c>
    </row>
    <row r="59" ht="15.75" customHeight="1">
      <c r="A59" s="48" t="s">
        <v>1053</v>
      </c>
      <c r="B59" s="53" t="s">
        <v>1054</v>
      </c>
      <c r="C59" s="53" t="s">
        <v>1038</v>
      </c>
      <c r="D59" s="53" t="s">
        <v>1055</v>
      </c>
      <c r="E59" s="53" t="s">
        <v>754</v>
      </c>
      <c r="F59" s="53" t="s">
        <v>756</v>
      </c>
      <c r="G59" s="53" t="s">
        <v>788</v>
      </c>
    </row>
    <row r="60" ht="15.75" customHeight="1">
      <c r="A60" s="40" t="s">
        <v>1056</v>
      </c>
      <c r="B60" s="41" t="s">
        <v>1057</v>
      </c>
      <c r="C60" s="41" t="s">
        <v>1038</v>
      </c>
      <c r="D60" s="41" t="s">
        <v>1058</v>
      </c>
      <c r="E60" s="41" t="s">
        <v>754</v>
      </c>
      <c r="F60" s="41" t="s">
        <v>756</v>
      </c>
      <c r="G60" s="41" t="s">
        <v>813</v>
      </c>
    </row>
    <row r="61" ht="15.75" customHeight="1">
      <c r="A61" s="48" t="s">
        <v>1059</v>
      </c>
      <c r="B61" s="53" t="s">
        <v>1060</v>
      </c>
      <c r="C61" s="53" t="s">
        <v>1038</v>
      </c>
      <c r="D61" s="53" t="s">
        <v>1061</v>
      </c>
      <c r="E61" s="53" t="s">
        <v>754</v>
      </c>
      <c r="F61" s="53" t="s">
        <v>855</v>
      </c>
      <c r="G61" s="53" t="s">
        <v>788</v>
      </c>
    </row>
    <row r="62" ht="15.75" customHeight="1">
      <c r="A62" s="48" t="s">
        <v>1062</v>
      </c>
      <c r="B62" s="53" t="s">
        <v>1063</v>
      </c>
      <c r="C62" s="53" t="s">
        <v>1038</v>
      </c>
      <c r="D62" s="53" t="s">
        <v>1064</v>
      </c>
      <c r="E62" s="53" t="s">
        <v>754</v>
      </c>
      <c r="F62" s="53" t="s">
        <v>847</v>
      </c>
      <c r="G62" s="53" t="s">
        <v>788</v>
      </c>
    </row>
    <row r="63" ht="15.75" customHeight="1">
      <c r="A63" s="48" t="s">
        <v>1065</v>
      </c>
      <c r="B63" s="53" t="s">
        <v>1066</v>
      </c>
      <c r="C63" s="53" t="s">
        <v>1038</v>
      </c>
      <c r="D63" s="53" t="s">
        <v>1067</v>
      </c>
      <c r="E63" s="53" t="s">
        <v>754</v>
      </c>
      <c r="F63" s="53" t="s">
        <v>756</v>
      </c>
      <c r="G63" s="53" t="s">
        <v>788</v>
      </c>
    </row>
    <row r="64" ht="15.75" customHeight="1">
      <c r="A64" s="40" t="s">
        <v>237</v>
      </c>
      <c r="B64" s="41" t="s">
        <v>1068</v>
      </c>
      <c r="C64" s="41" t="s">
        <v>1038</v>
      </c>
      <c r="D64" s="41" t="s">
        <v>1069</v>
      </c>
      <c r="E64" s="41" t="s">
        <v>754</v>
      </c>
      <c r="F64" s="41" t="s">
        <v>756</v>
      </c>
      <c r="G64" s="41" t="s">
        <v>828</v>
      </c>
    </row>
    <row r="65" ht="15.75" customHeight="1">
      <c r="A65" s="48" t="s">
        <v>1070</v>
      </c>
      <c r="B65" s="53" t="s">
        <v>1071</v>
      </c>
      <c r="C65" s="53" t="s">
        <v>1072</v>
      </c>
      <c r="D65" s="53" t="s">
        <v>1073</v>
      </c>
      <c r="E65" s="53" t="s">
        <v>754</v>
      </c>
      <c r="F65" s="53" t="s">
        <v>756</v>
      </c>
      <c r="G65" s="53" t="s">
        <v>788</v>
      </c>
    </row>
    <row r="66" ht="15.75" customHeight="1"/>
    <row r="67" ht="15.75" customHeight="1">
      <c r="A67" s="37" t="s">
        <v>1074</v>
      </c>
    </row>
    <row r="68" ht="15.75" customHeight="1"/>
    <row r="69" ht="15.75" customHeight="1">
      <c r="A69" s="61" t="s">
        <v>738</v>
      </c>
      <c r="B69" s="62" t="s">
        <v>1075</v>
      </c>
      <c r="C69" s="62" t="s">
        <v>752</v>
      </c>
      <c r="D69" s="62" t="s">
        <v>1076</v>
      </c>
      <c r="E69" s="62" t="s">
        <v>786</v>
      </c>
      <c r="F69" s="62" t="s">
        <v>756</v>
      </c>
      <c r="G69" s="62" t="s">
        <v>757</v>
      </c>
      <c r="H69" s="37" t="s">
        <v>1077</v>
      </c>
    </row>
    <row r="70" ht="15.75" customHeight="1">
      <c r="A70" s="63" t="s">
        <v>761</v>
      </c>
      <c r="B70" s="62" t="s">
        <v>1078</v>
      </c>
      <c r="C70" s="62" t="s">
        <v>752</v>
      </c>
      <c r="D70" s="62" t="s">
        <v>1079</v>
      </c>
      <c r="E70" s="62" t="s">
        <v>801</v>
      </c>
      <c r="F70" s="62" t="s">
        <v>756</v>
      </c>
      <c r="G70" s="62" t="s">
        <v>757</v>
      </c>
      <c r="H70" s="37" t="s">
        <v>1080</v>
      </c>
    </row>
    <row r="71" ht="15.75" customHeight="1">
      <c r="A71" s="63" t="s">
        <v>768</v>
      </c>
      <c r="B71" s="62" t="s">
        <v>792</v>
      </c>
      <c r="C71" s="62" t="s">
        <v>752</v>
      </c>
      <c r="D71" s="62" t="s">
        <v>793</v>
      </c>
      <c r="E71" s="62" t="s">
        <v>786</v>
      </c>
      <c r="F71" s="62" t="s">
        <v>756</v>
      </c>
      <c r="G71" s="62" t="s">
        <v>796</v>
      </c>
    </row>
    <row r="72" ht="15.75" customHeight="1">
      <c r="A72" s="63" t="s">
        <v>772</v>
      </c>
      <c r="B72" s="62" t="s">
        <v>1081</v>
      </c>
      <c r="C72" s="62" t="s">
        <v>752</v>
      </c>
      <c r="D72" s="62" t="s">
        <v>1082</v>
      </c>
      <c r="E72" s="62" t="s">
        <v>801</v>
      </c>
      <c r="F72" s="62" t="s">
        <v>756</v>
      </c>
      <c r="G72" s="62" t="s">
        <v>796</v>
      </c>
    </row>
    <row r="73" ht="15.75" customHeight="1">
      <c r="A73" s="63" t="s">
        <v>775</v>
      </c>
      <c r="B73" s="62" t="s">
        <v>1083</v>
      </c>
      <c r="C73" s="62" t="s">
        <v>752</v>
      </c>
      <c r="D73" s="62" t="s">
        <v>1084</v>
      </c>
      <c r="E73" s="62" t="s">
        <v>786</v>
      </c>
      <c r="F73" s="62" t="s">
        <v>756</v>
      </c>
      <c r="G73" s="62" t="s">
        <v>813</v>
      </c>
      <c r="H73" s="37"/>
    </row>
    <row r="74" ht="15.75" customHeight="1">
      <c r="A74" s="63" t="s">
        <v>777</v>
      </c>
      <c r="B74" s="62" t="s">
        <v>1085</v>
      </c>
      <c r="C74" s="62" t="s">
        <v>752</v>
      </c>
      <c r="D74" s="62" t="s">
        <v>1086</v>
      </c>
      <c r="E74" s="62" t="s">
        <v>786</v>
      </c>
      <c r="F74" s="62" t="s">
        <v>756</v>
      </c>
      <c r="G74" s="62" t="s">
        <v>820</v>
      </c>
      <c r="H74" s="37" t="s">
        <v>1087</v>
      </c>
    </row>
    <row r="75" ht="15.75" customHeight="1">
      <c r="A75" s="63" t="s">
        <v>780</v>
      </c>
      <c r="B75" s="62" t="s">
        <v>1088</v>
      </c>
      <c r="C75" s="62" t="s">
        <v>752</v>
      </c>
      <c r="D75" s="62" t="s">
        <v>1089</v>
      </c>
      <c r="E75" s="62" t="s">
        <v>786</v>
      </c>
      <c r="F75" s="62" t="s">
        <v>756</v>
      </c>
      <c r="G75" s="62" t="s">
        <v>828</v>
      </c>
    </row>
    <row r="76" ht="15.75" customHeight="1">
      <c r="A76" s="63" t="s">
        <v>789</v>
      </c>
      <c r="B76" s="62" t="s">
        <v>822</v>
      </c>
      <c r="C76" s="62" t="s">
        <v>752</v>
      </c>
      <c r="D76" s="62" t="s">
        <v>823</v>
      </c>
      <c r="E76" s="62" t="s">
        <v>786</v>
      </c>
      <c r="F76" s="62" t="s">
        <v>756</v>
      </c>
      <c r="G76" s="62" t="s">
        <v>826</v>
      </c>
    </row>
    <row r="77" ht="15.75" customHeight="1">
      <c r="A77" s="64" t="s">
        <v>795</v>
      </c>
      <c r="B77" s="65" t="s">
        <v>833</v>
      </c>
      <c r="C77" s="65" t="s">
        <v>752</v>
      </c>
      <c r="D77" s="65" t="s">
        <v>836</v>
      </c>
      <c r="E77" s="65" t="s">
        <v>786</v>
      </c>
      <c r="F77" s="65" t="s">
        <v>756</v>
      </c>
      <c r="G77" s="65" t="s">
        <v>794</v>
      </c>
    </row>
    <row r="78" ht="15.75" customHeight="1">
      <c r="A78" s="64" t="s">
        <v>802</v>
      </c>
      <c r="B78" s="65" t="s">
        <v>1090</v>
      </c>
      <c r="C78" s="65" t="s">
        <v>752</v>
      </c>
      <c r="D78" s="65" t="s">
        <v>842</v>
      </c>
      <c r="E78" s="65" t="s">
        <v>786</v>
      </c>
      <c r="F78" s="65" t="s">
        <v>756</v>
      </c>
      <c r="G78" s="65" t="s">
        <v>794</v>
      </c>
    </row>
    <row r="79" ht="15.75" customHeight="1">
      <c r="A79" s="64" t="s">
        <v>807</v>
      </c>
      <c r="B79" s="65" t="s">
        <v>844</v>
      </c>
      <c r="C79" s="65" t="s">
        <v>752</v>
      </c>
      <c r="D79" s="65" t="s">
        <v>846</v>
      </c>
      <c r="E79" s="65" t="s">
        <v>786</v>
      </c>
      <c r="F79" s="65" t="s">
        <v>847</v>
      </c>
      <c r="G79" s="65" t="s">
        <v>788</v>
      </c>
    </row>
    <row r="80" ht="15.75" customHeight="1">
      <c r="A80" s="63" t="s">
        <v>567</v>
      </c>
      <c r="B80" s="62" t="s">
        <v>849</v>
      </c>
      <c r="C80" s="62" t="s">
        <v>752</v>
      </c>
      <c r="D80" s="62" t="s">
        <v>850</v>
      </c>
      <c r="E80" s="62" t="s">
        <v>786</v>
      </c>
      <c r="F80" s="62" t="s">
        <v>756</v>
      </c>
      <c r="G80" s="62" t="s">
        <v>853</v>
      </c>
    </row>
    <row r="81" ht="15.75" customHeight="1">
      <c r="A81" s="64" t="s">
        <v>818</v>
      </c>
      <c r="B81" s="65" t="s">
        <v>1091</v>
      </c>
      <c r="C81" s="65" t="s">
        <v>752</v>
      </c>
      <c r="D81" s="65" t="s">
        <v>857</v>
      </c>
      <c r="E81" s="65" t="s">
        <v>786</v>
      </c>
      <c r="F81" s="65" t="s">
        <v>855</v>
      </c>
      <c r="G81" s="65" t="s">
        <v>788</v>
      </c>
    </row>
    <row r="82" ht="15.75" customHeight="1">
      <c r="A82" s="63" t="s">
        <v>824</v>
      </c>
      <c r="B82" s="62" t="s">
        <v>861</v>
      </c>
      <c r="C82" s="62" t="s">
        <v>752</v>
      </c>
      <c r="D82" s="62" t="s">
        <v>863</v>
      </c>
      <c r="E82" s="62" t="s">
        <v>801</v>
      </c>
      <c r="F82" s="62" t="s">
        <v>756</v>
      </c>
      <c r="G82" s="62" t="s">
        <v>820</v>
      </c>
    </row>
    <row r="83" ht="15.75" customHeight="1">
      <c r="A83" s="64" t="s">
        <v>134</v>
      </c>
      <c r="B83" s="65" t="s">
        <v>866</v>
      </c>
      <c r="C83" s="65" t="s">
        <v>752</v>
      </c>
      <c r="D83" s="65" t="s">
        <v>869</v>
      </c>
      <c r="E83" s="65" t="s">
        <v>801</v>
      </c>
      <c r="F83" s="65" t="s">
        <v>756</v>
      </c>
      <c r="G83" s="65" t="s">
        <v>788</v>
      </c>
    </row>
    <row r="84" ht="15.75" customHeight="1">
      <c r="A84" s="64" t="s">
        <v>832</v>
      </c>
      <c r="B84" s="65" t="s">
        <v>873</v>
      </c>
      <c r="C84" s="65" t="s">
        <v>752</v>
      </c>
      <c r="D84" s="65" t="s">
        <v>874</v>
      </c>
      <c r="E84" s="65" t="s">
        <v>801</v>
      </c>
      <c r="F84" s="65" t="s">
        <v>876</v>
      </c>
      <c r="G84" s="65" t="s">
        <v>794</v>
      </c>
      <c r="H84" s="37" t="s">
        <v>1080</v>
      </c>
    </row>
    <row r="85" ht="15.75" customHeight="1">
      <c r="A85" s="63" t="s">
        <v>837</v>
      </c>
      <c r="B85" s="62" t="s">
        <v>879</v>
      </c>
      <c r="C85" s="62" t="s">
        <v>752</v>
      </c>
      <c r="D85" s="62" t="s">
        <v>1092</v>
      </c>
      <c r="E85" s="62" t="s">
        <v>786</v>
      </c>
      <c r="F85" s="62" t="s">
        <v>756</v>
      </c>
      <c r="G85" s="62" t="s">
        <v>883</v>
      </c>
    </row>
    <row r="86" ht="15.75" customHeight="1">
      <c r="A86" s="64" t="s">
        <v>890</v>
      </c>
      <c r="B86" s="65" t="s">
        <v>1093</v>
      </c>
      <c r="C86" s="65" t="s">
        <v>752</v>
      </c>
      <c r="D86" s="65" t="s">
        <v>1094</v>
      </c>
      <c r="E86" s="65" t="s">
        <v>801</v>
      </c>
      <c r="F86" s="65" t="s">
        <v>756</v>
      </c>
      <c r="G86" s="65" t="s">
        <v>788</v>
      </c>
      <c r="H86" s="37" t="s">
        <v>1095</v>
      </c>
    </row>
    <row r="87" ht="15.75" customHeight="1">
      <c r="A87" s="64" t="s">
        <v>896</v>
      </c>
      <c r="B87" s="65" t="s">
        <v>1096</v>
      </c>
      <c r="C87" s="65" t="s">
        <v>752</v>
      </c>
      <c r="D87" s="65" t="s">
        <v>1097</v>
      </c>
      <c r="E87" s="65" t="s">
        <v>801</v>
      </c>
      <c r="F87" s="65" t="s">
        <v>756</v>
      </c>
      <c r="G87" s="65" t="s">
        <v>788</v>
      </c>
    </row>
    <row r="88" ht="15.75" customHeight="1">
      <c r="A88" s="63" t="s">
        <v>511</v>
      </c>
      <c r="B88" s="62" t="s">
        <v>924</v>
      </c>
      <c r="C88" s="62" t="s">
        <v>752</v>
      </c>
      <c r="D88" s="62" t="s">
        <v>1098</v>
      </c>
      <c r="E88" s="62" t="s">
        <v>786</v>
      </c>
      <c r="F88" s="62" t="s">
        <v>928</v>
      </c>
      <c r="G88" s="62" t="s">
        <v>903</v>
      </c>
    </row>
    <row r="89" ht="15.75" customHeight="1">
      <c r="A89" s="63" t="s">
        <v>860</v>
      </c>
      <c r="B89" s="62" t="s">
        <v>1099</v>
      </c>
      <c r="C89" s="62" t="s">
        <v>752</v>
      </c>
      <c r="D89" s="62" t="s">
        <v>1100</v>
      </c>
      <c r="E89" s="62" t="s">
        <v>786</v>
      </c>
      <c r="F89" s="62" t="s">
        <v>756</v>
      </c>
      <c r="G89" s="62" t="s">
        <v>828</v>
      </c>
    </row>
    <row r="90" ht="15.75" customHeight="1">
      <c r="A90" s="63" t="s">
        <v>867</v>
      </c>
      <c r="B90" s="62" t="s">
        <v>1101</v>
      </c>
      <c r="C90" s="62" t="s">
        <v>752</v>
      </c>
      <c r="D90" s="62" t="s">
        <v>929</v>
      </c>
      <c r="E90" s="62" t="s">
        <v>786</v>
      </c>
      <c r="F90" s="62" t="s">
        <v>937</v>
      </c>
      <c r="G90" s="62" t="s">
        <v>930</v>
      </c>
    </row>
    <row r="91" ht="15.75" customHeight="1">
      <c r="A91" s="64" t="s">
        <v>872</v>
      </c>
      <c r="B91" s="65" t="s">
        <v>1102</v>
      </c>
      <c r="C91" s="65" t="s">
        <v>752</v>
      </c>
      <c r="D91" s="65" t="s">
        <v>1103</v>
      </c>
      <c r="E91" s="65" t="s">
        <v>801</v>
      </c>
      <c r="F91" s="65" t="s">
        <v>756</v>
      </c>
      <c r="G91" s="65" t="s">
        <v>794</v>
      </c>
      <c r="H91" s="37" t="s">
        <v>1080</v>
      </c>
    </row>
    <row r="92" ht="15.75" customHeight="1">
      <c r="A92" s="64" t="s">
        <v>878</v>
      </c>
      <c r="B92" s="65" t="s">
        <v>932</v>
      </c>
      <c r="C92" s="65" t="s">
        <v>752</v>
      </c>
      <c r="D92" s="65" t="s">
        <v>1104</v>
      </c>
      <c r="E92" s="65" t="s">
        <v>801</v>
      </c>
      <c r="F92" s="65" t="s">
        <v>937</v>
      </c>
      <c r="G92" s="65" t="s">
        <v>794</v>
      </c>
    </row>
    <row r="93" ht="15.75" customHeight="1">
      <c r="A93" s="64" t="s">
        <v>884</v>
      </c>
      <c r="B93" s="65" t="s">
        <v>1105</v>
      </c>
      <c r="C93" s="65" t="s">
        <v>752</v>
      </c>
      <c r="D93" s="65" t="s">
        <v>942</v>
      </c>
      <c r="E93" s="65" t="s">
        <v>801</v>
      </c>
      <c r="F93" s="65" t="s">
        <v>756</v>
      </c>
      <c r="G93" s="65" t="s">
        <v>788</v>
      </c>
    </row>
    <row r="94" ht="15.75" customHeight="1">
      <c r="A94" s="64" t="s">
        <v>891</v>
      </c>
      <c r="B94" s="65" t="s">
        <v>1106</v>
      </c>
      <c r="C94" s="65" t="s">
        <v>752</v>
      </c>
      <c r="D94" s="65" t="s">
        <v>1107</v>
      </c>
      <c r="E94" s="65" t="s">
        <v>801</v>
      </c>
      <c r="F94" s="65" t="s">
        <v>756</v>
      </c>
      <c r="G94" s="65" t="s">
        <v>788</v>
      </c>
    </row>
    <row r="95" ht="15.75" customHeight="1">
      <c r="A95" s="63" t="s">
        <v>954</v>
      </c>
      <c r="B95" s="62" t="s">
        <v>1006</v>
      </c>
      <c r="C95" s="62" t="s">
        <v>956</v>
      </c>
      <c r="D95" s="62" t="s">
        <v>957</v>
      </c>
      <c r="E95" s="62" t="s">
        <v>786</v>
      </c>
      <c r="F95" s="62" t="s">
        <v>959</v>
      </c>
      <c r="G95" s="62" t="s">
        <v>960</v>
      </c>
    </row>
    <row r="96" ht="15.75" customHeight="1">
      <c r="A96" s="64" t="s">
        <v>962</v>
      </c>
      <c r="B96" s="65" t="s">
        <v>1014</v>
      </c>
      <c r="C96" s="65" t="s">
        <v>966</v>
      </c>
      <c r="D96" s="65" t="s">
        <v>967</v>
      </c>
      <c r="E96" s="65" t="s">
        <v>801</v>
      </c>
      <c r="F96" s="65" t="s">
        <v>756</v>
      </c>
      <c r="G96" s="65" t="s">
        <v>794</v>
      </c>
      <c r="H96" s="37" t="s">
        <v>1080</v>
      </c>
    </row>
    <row r="97" ht="15.75" customHeight="1">
      <c r="A97" s="63" t="s">
        <v>611</v>
      </c>
      <c r="B97" s="62" t="s">
        <v>1016</v>
      </c>
      <c r="C97" s="62" t="s">
        <v>966</v>
      </c>
      <c r="D97" s="62" t="s">
        <v>1108</v>
      </c>
      <c r="E97" s="62" t="s">
        <v>801</v>
      </c>
      <c r="F97" s="62" t="s">
        <v>1018</v>
      </c>
      <c r="G97" s="62" t="s">
        <v>1109</v>
      </c>
    </row>
    <row r="98" ht="15.75" customHeight="1">
      <c r="A98" s="64" t="s">
        <v>973</v>
      </c>
      <c r="B98" s="65" t="s">
        <v>1020</v>
      </c>
      <c r="C98" s="65" t="s">
        <v>976</v>
      </c>
      <c r="D98" s="65" t="s">
        <v>977</v>
      </c>
      <c r="E98" s="65" t="s">
        <v>786</v>
      </c>
      <c r="F98" s="65" t="s">
        <v>756</v>
      </c>
      <c r="G98" s="65" t="s">
        <v>794</v>
      </c>
    </row>
    <row r="99" ht="15.75" customHeight="1">
      <c r="A99" s="64" t="s">
        <v>980</v>
      </c>
      <c r="B99" s="65" t="s">
        <v>1110</v>
      </c>
      <c r="C99" s="65" t="s">
        <v>982</v>
      </c>
      <c r="D99" s="65" t="s">
        <v>983</v>
      </c>
      <c r="E99" s="65" t="s">
        <v>786</v>
      </c>
      <c r="F99" s="65" t="s">
        <v>756</v>
      </c>
      <c r="G99" s="65" t="s">
        <v>794</v>
      </c>
    </row>
    <row r="100" ht="15.75" customHeight="1">
      <c r="A100" s="63" t="s">
        <v>985</v>
      </c>
      <c r="B100" s="62" t="s">
        <v>1111</v>
      </c>
      <c r="C100" s="62" t="s">
        <v>989</v>
      </c>
      <c r="D100" s="62" t="s">
        <v>1112</v>
      </c>
      <c r="E100" s="62" t="s">
        <v>786</v>
      </c>
      <c r="F100" s="62" t="s">
        <v>756</v>
      </c>
      <c r="G100" s="62" t="s">
        <v>991</v>
      </c>
    </row>
    <row r="101" ht="15.75" customHeight="1">
      <c r="A101" s="64" t="s">
        <v>993</v>
      </c>
      <c r="B101" s="65" t="s">
        <v>1113</v>
      </c>
      <c r="C101" s="65" t="s">
        <v>995</v>
      </c>
      <c r="D101" s="65" t="s">
        <v>997</v>
      </c>
      <c r="E101" s="65" t="s">
        <v>801</v>
      </c>
      <c r="F101" s="65" t="s">
        <v>998</v>
      </c>
      <c r="G101" s="65" t="s">
        <v>794</v>
      </c>
    </row>
    <row r="102" ht="15.75" customHeight="1">
      <c r="A102" s="63" t="s">
        <v>1001</v>
      </c>
      <c r="B102" s="62" t="s">
        <v>1114</v>
      </c>
      <c r="C102" s="62" t="s">
        <v>1003</v>
      </c>
      <c r="D102" s="62" t="s">
        <v>1004</v>
      </c>
      <c r="E102" s="62" t="s">
        <v>801</v>
      </c>
      <c r="F102" s="62" t="s">
        <v>1005</v>
      </c>
      <c r="G102" s="62" t="s">
        <v>930</v>
      </c>
    </row>
    <row r="103" ht="15.75" customHeight="1">
      <c r="A103" s="64" t="s">
        <v>1007</v>
      </c>
      <c r="B103" s="65" t="s">
        <v>1115</v>
      </c>
      <c r="C103" s="65" t="s">
        <v>1010</v>
      </c>
      <c r="D103" s="65" t="s">
        <v>1116</v>
      </c>
      <c r="E103" s="65" t="s">
        <v>801</v>
      </c>
      <c r="F103" s="65" t="s">
        <v>1013</v>
      </c>
      <c r="G103" s="65" t="s">
        <v>794</v>
      </c>
    </row>
    <row r="104" ht="15.75" customHeight="1"/>
    <row r="105" ht="15.75" customHeight="1"/>
    <row r="106" ht="15.75" customHeight="1">
      <c r="A106" s="37" t="s">
        <v>1117</v>
      </c>
    </row>
    <row r="107" ht="15.75" customHeight="1">
      <c r="A107" s="66" t="s">
        <v>12</v>
      </c>
      <c r="B107" s="66" t="s">
        <v>728</v>
      </c>
      <c r="C107" s="66" t="s">
        <v>668</v>
      </c>
      <c r="D107" s="66" t="s">
        <v>28</v>
      </c>
      <c r="E107" s="66" t="s">
        <v>32</v>
      </c>
      <c r="F107" s="66" t="s">
        <v>33</v>
      </c>
      <c r="G107" s="66" t="s">
        <v>735</v>
      </c>
    </row>
    <row r="108" ht="15.75" customHeight="1">
      <c r="A108" s="67" t="s">
        <v>738</v>
      </c>
      <c r="B108" s="51" t="s">
        <v>782</v>
      </c>
      <c r="C108" s="51" t="s">
        <v>752</v>
      </c>
      <c r="D108" s="51" t="s">
        <v>784</v>
      </c>
      <c r="E108" s="51" t="s">
        <v>786</v>
      </c>
      <c r="F108" s="51" t="s">
        <v>756</v>
      </c>
      <c r="G108" s="51" t="s">
        <v>757</v>
      </c>
    </row>
    <row r="109" ht="15.75" customHeight="1">
      <c r="A109" s="67" t="s">
        <v>761</v>
      </c>
      <c r="B109" s="51" t="s">
        <v>792</v>
      </c>
      <c r="C109" s="51" t="s">
        <v>752</v>
      </c>
      <c r="D109" s="51" t="s">
        <v>793</v>
      </c>
      <c r="E109" s="51" t="s">
        <v>786</v>
      </c>
      <c r="F109" s="51" t="s">
        <v>756</v>
      </c>
      <c r="G109" s="51" t="s">
        <v>796</v>
      </c>
    </row>
    <row r="110" ht="15.75" customHeight="1">
      <c r="A110" s="67" t="s">
        <v>768</v>
      </c>
      <c r="B110" s="51" t="s">
        <v>798</v>
      </c>
      <c r="C110" s="51" t="s">
        <v>752</v>
      </c>
      <c r="D110" s="51" t="s">
        <v>800</v>
      </c>
      <c r="E110" s="51" t="s">
        <v>801</v>
      </c>
      <c r="F110" s="51" t="s">
        <v>756</v>
      </c>
      <c r="G110" s="51" t="s">
        <v>796</v>
      </c>
    </row>
    <row r="111" ht="15.75" customHeight="1">
      <c r="A111" s="67" t="s">
        <v>772</v>
      </c>
      <c r="B111" s="51" t="s">
        <v>805</v>
      </c>
      <c r="C111" s="51" t="s">
        <v>752</v>
      </c>
      <c r="D111" s="51" t="s">
        <v>806</v>
      </c>
      <c r="E111" s="51" t="s">
        <v>786</v>
      </c>
      <c r="F111" s="51" t="s">
        <v>756</v>
      </c>
      <c r="G111" s="51" t="s">
        <v>796</v>
      </c>
    </row>
    <row r="112" ht="15.75" customHeight="1">
      <c r="A112" s="67" t="s">
        <v>775</v>
      </c>
      <c r="B112" s="51" t="s">
        <v>809</v>
      </c>
      <c r="C112" s="51" t="s">
        <v>752</v>
      </c>
      <c r="D112" s="51" t="s">
        <v>811</v>
      </c>
      <c r="E112" s="51" t="s">
        <v>786</v>
      </c>
      <c r="F112" s="51" t="s">
        <v>756</v>
      </c>
      <c r="G112" s="51" t="s">
        <v>813</v>
      </c>
    </row>
    <row r="113" ht="15.75" customHeight="1">
      <c r="A113" s="67" t="s">
        <v>777</v>
      </c>
      <c r="B113" s="51" t="s">
        <v>816</v>
      </c>
      <c r="C113" s="51" t="s">
        <v>752</v>
      </c>
      <c r="D113" s="51" t="s">
        <v>817</v>
      </c>
      <c r="E113" s="51" t="s">
        <v>786</v>
      </c>
      <c r="F113" s="51" t="s">
        <v>756</v>
      </c>
      <c r="G113" s="51" t="s">
        <v>820</v>
      </c>
    </row>
    <row r="114" ht="15.75" customHeight="1">
      <c r="A114" s="67" t="s">
        <v>780</v>
      </c>
      <c r="B114" s="51" t="s">
        <v>822</v>
      </c>
      <c r="C114" s="51" t="s">
        <v>752</v>
      </c>
      <c r="D114" s="51" t="s">
        <v>823</v>
      </c>
      <c r="E114" s="51" t="s">
        <v>786</v>
      </c>
      <c r="F114" s="51" t="s">
        <v>756</v>
      </c>
      <c r="G114" s="51" t="s">
        <v>826</v>
      </c>
    </row>
    <row r="115" ht="15.75" customHeight="1">
      <c r="A115" s="68" t="s">
        <v>789</v>
      </c>
      <c r="B115" s="56" t="s">
        <v>833</v>
      </c>
      <c r="C115" s="56" t="s">
        <v>752</v>
      </c>
      <c r="D115" s="56" t="s">
        <v>836</v>
      </c>
      <c r="E115" s="56" t="s">
        <v>786</v>
      </c>
      <c r="F115" s="56" t="s">
        <v>756</v>
      </c>
      <c r="G115" s="56" t="s">
        <v>794</v>
      </c>
    </row>
    <row r="116" ht="15.75" customHeight="1">
      <c r="A116" s="68" t="s">
        <v>795</v>
      </c>
      <c r="B116" s="56" t="s">
        <v>840</v>
      </c>
      <c r="C116" s="56" t="s">
        <v>752</v>
      </c>
      <c r="D116" s="56" t="s">
        <v>842</v>
      </c>
      <c r="E116" s="56" t="s">
        <v>786</v>
      </c>
      <c r="F116" s="56" t="s">
        <v>756</v>
      </c>
      <c r="G116" s="56" t="s">
        <v>794</v>
      </c>
    </row>
    <row r="117" ht="15.75" customHeight="1">
      <c r="A117" s="68" t="s">
        <v>802</v>
      </c>
      <c r="B117" s="56" t="s">
        <v>844</v>
      </c>
      <c r="C117" s="56" t="s">
        <v>752</v>
      </c>
      <c r="D117" s="56" t="s">
        <v>846</v>
      </c>
      <c r="E117" s="56" t="s">
        <v>786</v>
      </c>
      <c r="F117" s="56" t="s">
        <v>847</v>
      </c>
      <c r="G117" s="56" t="s">
        <v>788</v>
      </c>
    </row>
    <row r="118" ht="15.75" customHeight="1">
      <c r="A118" s="67" t="s">
        <v>807</v>
      </c>
      <c r="B118" s="51" t="s">
        <v>849</v>
      </c>
      <c r="C118" s="51" t="s">
        <v>752</v>
      </c>
      <c r="D118" s="51" t="s">
        <v>850</v>
      </c>
      <c r="E118" s="51" t="s">
        <v>786</v>
      </c>
      <c r="F118" s="51" t="s">
        <v>756</v>
      </c>
      <c r="G118" s="51" t="s">
        <v>853</v>
      </c>
    </row>
    <row r="119" ht="15.75" customHeight="1">
      <c r="A119" s="68" t="s">
        <v>567</v>
      </c>
      <c r="B119" s="56" t="s">
        <v>856</v>
      </c>
      <c r="C119" s="56" t="s">
        <v>752</v>
      </c>
      <c r="D119" s="56" t="s">
        <v>857</v>
      </c>
      <c r="E119" s="56" t="s">
        <v>786</v>
      </c>
      <c r="F119" s="56" t="s">
        <v>855</v>
      </c>
      <c r="G119" s="56" t="s">
        <v>788</v>
      </c>
    </row>
    <row r="120" ht="15.75" customHeight="1">
      <c r="A120" s="67" t="s">
        <v>818</v>
      </c>
      <c r="B120" s="51" t="s">
        <v>861</v>
      </c>
      <c r="C120" s="51" t="s">
        <v>752</v>
      </c>
      <c r="D120" s="51" t="s">
        <v>863</v>
      </c>
      <c r="E120" s="51" t="s">
        <v>801</v>
      </c>
      <c r="F120" s="51" t="s">
        <v>756</v>
      </c>
      <c r="G120" s="51" t="s">
        <v>820</v>
      </c>
    </row>
    <row r="121" ht="15.75" customHeight="1">
      <c r="A121" s="68" t="s">
        <v>824</v>
      </c>
      <c r="B121" s="56" t="s">
        <v>866</v>
      </c>
      <c r="C121" s="56" t="s">
        <v>752</v>
      </c>
      <c r="D121" s="56" t="s">
        <v>869</v>
      </c>
      <c r="E121" s="56" t="s">
        <v>801</v>
      </c>
      <c r="F121" s="56" t="s">
        <v>756</v>
      </c>
      <c r="G121" s="56" t="s">
        <v>788</v>
      </c>
    </row>
    <row r="122" ht="15.75" customHeight="1">
      <c r="A122" s="68" t="s">
        <v>134</v>
      </c>
      <c r="B122" s="56" t="s">
        <v>873</v>
      </c>
      <c r="C122" s="56" t="s">
        <v>752</v>
      </c>
      <c r="D122" s="56" t="s">
        <v>874</v>
      </c>
      <c r="E122" s="56" t="s">
        <v>801</v>
      </c>
      <c r="F122" s="56" t="s">
        <v>876</v>
      </c>
      <c r="G122" s="56" t="s">
        <v>794</v>
      </c>
    </row>
    <row r="123" ht="15.75" customHeight="1">
      <c r="A123" s="67" t="s">
        <v>832</v>
      </c>
      <c r="B123" s="51" t="s">
        <v>879</v>
      </c>
      <c r="C123" s="51" t="s">
        <v>752</v>
      </c>
      <c r="D123" s="51" t="s">
        <v>881</v>
      </c>
      <c r="E123" s="51" t="s">
        <v>786</v>
      </c>
      <c r="F123" s="51" t="s">
        <v>756</v>
      </c>
      <c r="G123" s="51" t="s">
        <v>883</v>
      </c>
    </row>
    <row r="124" ht="15.75" customHeight="1">
      <c r="A124" s="68" t="s">
        <v>837</v>
      </c>
      <c r="B124" s="56" t="s">
        <v>886</v>
      </c>
      <c r="C124" s="56" t="s">
        <v>752</v>
      </c>
      <c r="D124" s="56" t="s">
        <v>888</v>
      </c>
      <c r="E124" s="56" t="s">
        <v>801</v>
      </c>
      <c r="F124" s="56" t="s">
        <v>756</v>
      </c>
      <c r="G124" s="56" t="s">
        <v>788</v>
      </c>
    </row>
    <row r="125" ht="15.75" customHeight="1">
      <c r="A125" s="68" t="s">
        <v>890</v>
      </c>
      <c r="B125" s="56" t="s">
        <v>892</v>
      </c>
      <c r="C125" s="56" t="s">
        <v>752</v>
      </c>
      <c r="D125" s="56" t="s">
        <v>894</v>
      </c>
      <c r="E125" s="56" t="s">
        <v>786</v>
      </c>
      <c r="F125" s="56" t="s">
        <v>756</v>
      </c>
      <c r="G125" s="56" t="s">
        <v>788</v>
      </c>
    </row>
    <row r="126" ht="15.75" customHeight="1">
      <c r="A126" s="67" t="s">
        <v>896</v>
      </c>
      <c r="B126" s="51" t="s">
        <v>899</v>
      </c>
      <c r="C126" s="51" t="s">
        <v>752</v>
      </c>
      <c r="D126" s="51" t="s">
        <v>901</v>
      </c>
      <c r="E126" s="51" t="s">
        <v>786</v>
      </c>
      <c r="F126" s="51" t="s">
        <v>756</v>
      </c>
      <c r="G126" s="51" t="s">
        <v>903</v>
      </c>
    </row>
    <row r="127" ht="15.75" customHeight="1">
      <c r="A127" s="67" t="s">
        <v>511</v>
      </c>
      <c r="B127" s="51" t="s">
        <v>904</v>
      </c>
      <c r="C127" s="51" t="s">
        <v>752</v>
      </c>
      <c r="D127" s="51" t="s">
        <v>905</v>
      </c>
      <c r="E127" s="51" t="s">
        <v>786</v>
      </c>
      <c r="F127" s="51" t="s">
        <v>756</v>
      </c>
      <c r="G127" s="51" t="s">
        <v>828</v>
      </c>
    </row>
    <row r="128" ht="15.75" customHeight="1">
      <c r="A128" s="67" t="s">
        <v>860</v>
      </c>
      <c r="B128" s="51" t="s">
        <v>910</v>
      </c>
      <c r="C128" s="51" t="s">
        <v>752</v>
      </c>
      <c r="D128" s="51" t="s">
        <v>911</v>
      </c>
      <c r="E128" s="51" t="s">
        <v>786</v>
      </c>
      <c r="F128" s="51" t="s">
        <v>756</v>
      </c>
      <c r="G128" s="51" t="s">
        <v>828</v>
      </c>
    </row>
    <row r="129" ht="15.75" customHeight="1">
      <c r="A129" s="67" t="s">
        <v>867</v>
      </c>
      <c r="B129" s="51" t="s">
        <v>918</v>
      </c>
      <c r="C129" s="51" t="s">
        <v>752</v>
      </c>
      <c r="D129" s="51" t="s">
        <v>920</v>
      </c>
      <c r="E129" s="51" t="s">
        <v>786</v>
      </c>
      <c r="F129" s="51" t="s">
        <v>756</v>
      </c>
      <c r="G129" s="51" t="s">
        <v>828</v>
      </c>
    </row>
    <row r="130" ht="15.75" customHeight="1">
      <c r="A130" s="67" t="s">
        <v>872</v>
      </c>
      <c r="B130" s="51" t="s">
        <v>922</v>
      </c>
      <c r="C130" s="51" t="s">
        <v>752</v>
      </c>
      <c r="D130" s="51" t="s">
        <v>923</v>
      </c>
      <c r="E130" s="51" t="s">
        <v>801</v>
      </c>
      <c r="F130" s="51" t="s">
        <v>756</v>
      </c>
      <c r="G130" s="51" t="s">
        <v>794</v>
      </c>
    </row>
    <row r="131" ht="15.75" customHeight="1">
      <c r="A131" s="67" t="s">
        <v>878</v>
      </c>
      <c r="B131" s="51" t="s">
        <v>927</v>
      </c>
      <c r="C131" s="51" t="s">
        <v>752</v>
      </c>
      <c r="D131" s="51" t="s">
        <v>929</v>
      </c>
      <c r="E131" s="51" t="s">
        <v>786</v>
      </c>
      <c r="F131" s="51" t="s">
        <v>756</v>
      </c>
      <c r="G131" s="51" t="s">
        <v>930</v>
      </c>
    </row>
    <row r="132" ht="15.75" customHeight="1">
      <c r="A132" s="67" t="s">
        <v>884</v>
      </c>
      <c r="B132" s="51" t="s">
        <v>933</v>
      </c>
      <c r="C132" s="51" t="s">
        <v>752</v>
      </c>
      <c r="D132" s="51" t="s">
        <v>934</v>
      </c>
      <c r="E132" s="51" t="s">
        <v>786</v>
      </c>
      <c r="F132" s="51" t="s">
        <v>756</v>
      </c>
      <c r="G132" s="51" t="s">
        <v>930</v>
      </c>
    </row>
    <row r="133" ht="15.75" customHeight="1">
      <c r="A133" s="68" t="s">
        <v>891</v>
      </c>
      <c r="B133" s="56" t="s">
        <v>938</v>
      </c>
      <c r="C133" s="56" t="s">
        <v>752</v>
      </c>
      <c r="D133" s="56" t="s">
        <v>939</v>
      </c>
      <c r="E133" s="56" t="s">
        <v>801</v>
      </c>
      <c r="F133" s="56" t="s">
        <v>756</v>
      </c>
      <c r="G133" s="56" t="s">
        <v>794</v>
      </c>
    </row>
    <row r="134" ht="15.75" customHeight="1">
      <c r="A134" s="68" t="s">
        <v>898</v>
      </c>
      <c r="B134" s="56" t="s">
        <v>941</v>
      </c>
      <c r="C134" s="56" t="s">
        <v>752</v>
      </c>
      <c r="D134" s="56" t="s">
        <v>942</v>
      </c>
      <c r="E134" s="56" t="s">
        <v>801</v>
      </c>
      <c r="F134" s="56" t="s">
        <v>756</v>
      </c>
      <c r="G134" s="56" t="s">
        <v>788</v>
      </c>
    </row>
    <row r="135" ht="15.75" customHeight="1">
      <c r="A135" s="68" t="s">
        <v>906</v>
      </c>
      <c r="B135" s="56" t="s">
        <v>944</v>
      </c>
      <c r="C135" s="56" t="s">
        <v>752</v>
      </c>
      <c r="D135" s="56" t="s">
        <v>945</v>
      </c>
      <c r="E135" s="56" t="s">
        <v>947</v>
      </c>
      <c r="F135" s="56" t="s">
        <v>756</v>
      </c>
      <c r="G135" s="56" t="s">
        <v>948</v>
      </c>
    </row>
    <row r="136" ht="15.75" customHeight="1">
      <c r="A136" s="68" t="s">
        <v>912</v>
      </c>
      <c r="B136" s="56" t="s">
        <v>950</v>
      </c>
      <c r="C136" s="56" t="s">
        <v>752</v>
      </c>
      <c r="D136" s="56" t="s">
        <v>952</v>
      </c>
      <c r="E136" s="56" t="s">
        <v>801</v>
      </c>
      <c r="F136" s="56" t="s">
        <v>756</v>
      </c>
      <c r="G136" s="56" t="s">
        <v>788</v>
      </c>
    </row>
    <row r="137" ht="15.75" customHeight="1">
      <c r="A137" s="67" t="s">
        <v>954</v>
      </c>
      <c r="B137" s="51" t="s">
        <v>955</v>
      </c>
      <c r="C137" s="51" t="s">
        <v>956</v>
      </c>
      <c r="D137" s="51" t="s">
        <v>957</v>
      </c>
      <c r="E137" s="51" t="s">
        <v>786</v>
      </c>
      <c r="F137" s="51" t="s">
        <v>959</v>
      </c>
      <c r="G137" s="51" t="s">
        <v>960</v>
      </c>
    </row>
    <row r="138" ht="15.75" customHeight="1">
      <c r="A138" s="68" t="s">
        <v>962</v>
      </c>
      <c r="B138" s="56" t="s">
        <v>963</v>
      </c>
      <c r="C138" s="56" t="s">
        <v>966</v>
      </c>
      <c r="D138" s="56" t="s">
        <v>967</v>
      </c>
      <c r="E138" s="56" t="s">
        <v>801</v>
      </c>
      <c r="F138" s="56" t="s">
        <v>756</v>
      </c>
      <c r="G138" s="56" t="s">
        <v>794</v>
      </c>
    </row>
    <row r="139" ht="15.75" customHeight="1">
      <c r="A139" s="67" t="s">
        <v>611</v>
      </c>
      <c r="B139" s="51" t="s">
        <v>968</v>
      </c>
      <c r="C139" s="51" t="s">
        <v>966</v>
      </c>
      <c r="D139" s="51" t="s">
        <v>970</v>
      </c>
      <c r="E139" s="51" t="s">
        <v>801</v>
      </c>
      <c r="F139" s="51" t="s">
        <v>756</v>
      </c>
      <c r="G139" s="51" t="s">
        <v>972</v>
      </c>
    </row>
    <row r="140" ht="15.75" customHeight="1">
      <c r="A140" s="68" t="s">
        <v>973</v>
      </c>
      <c r="B140" s="56" t="s">
        <v>975</v>
      </c>
      <c r="C140" s="56" t="s">
        <v>976</v>
      </c>
      <c r="D140" s="56" t="s">
        <v>977</v>
      </c>
      <c r="E140" s="56" t="s">
        <v>786</v>
      </c>
      <c r="F140" s="56" t="s">
        <v>756</v>
      </c>
      <c r="G140" s="56" t="s">
        <v>794</v>
      </c>
    </row>
    <row r="141" ht="15.75" customHeight="1">
      <c r="A141" s="68" t="s">
        <v>980</v>
      </c>
      <c r="B141" s="56" t="s">
        <v>981</v>
      </c>
      <c r="C141" s="56" t="s">
        <v>982</v>
      </c>
      <c r="D141" s="56" t="s">
        <v>983</v>
      </c>
      <c r="E141" s="56" t="s">
        <v>786</v>
      </c>
      <c r="F141" s="56" t="s">
        <v>756</v>
      </c>
      <c r="G141" s="56" t="s">
        <v>794</v>
      </c>
    </row>
    <row r="142" ht="15.75" customHeight="1">
      <c r="A142" s="67" t="s">
        <v>985</v>
      </c>
      <c r="B142" s="51" t="s">
        <v>987</v>
      </c>
      <c r="C142" s="51" t="s">
        <v>989</v>
      </c>
      <c r="D142" s="51" t="s">
        <v>990</v>
      </c>
      <c r="E142" s="51" t="s">
        <v>786</v>
      </c>
      <c r="F142" s="51" t="s">
        <v>756</v>
      </c>
      <c r="G142" s="51" t="s">
        <v>991</v>
      </c>
    </row>
    <row r="143" ht="15.75" customHeight="1">
      <c r="A143" s="68" t="s">
        <v>993</v>
      </c>
      <c r="B143" s="56" t="s">
        <v>994</v>
      </c>
      <c r="C143" s="56" t="s">
        <v>995</v>
      </c>
      <c r="D143" s="56" t="s">
        <v>997</v>
      </c>
      <c r="E143" s="56" t="s">
        <v>801</v>
      </c>
      <c r="F143" s="56" t="s">
        <v>998</v>
      </c>
      <c r="G143" s="56" t="s">
        <v>794</v>
      </c>
    </row>
    <row r="144" ht="15.75" customHeight="1">
      <c r="A144" s="67" t="s">
        <v>1001</v>
      </c>
      <c r="B144" s="51" t="s">
        <v>1002</v>
      </c>
      <c r="C144" s="51" t="s">
        <v>1003</v>
      </c>
      <c r="D144" s="51" t="s">
        <v>1004</v>
      </c>
      <c r="E144" s="51" t="s">
        <v>801</v>
      </c>
      <c r="F144" s="51" t="s">
        <v>1005</v>
      </c>
      <c r="G144" s="51" t="s">
        <v>930</v>
      </c>
    </row>
    <row r="145" ht="15.75" customHeight="1">
      <c r="A145" s="68" t="s">
        <v>1007</v>
      </c>
      <c r="B145" s="56" t="s">
        <v>1008</v>
      </c>
      <c r="C145" s="56" t="s">
        <v>1010</v>
      </c>
      <c r="D145" s="56" t="s">
        <v>1011</v>
      </c>
      <c r="E145" s="56" t="s">
        <v>801</v>
      </c>
      <c r="F145" s="56" t="s">
        <v>1013</v>
      </c>
      <c r="G145" s="56" t="s">
        <v>794</v>
      </c>
    </row>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row r="1002" ht="15.75" customHeight="1"/>
    <row r="1003" ht="15.75" customHeight="1"/>
    <row r="1004" ht="15.75" customHeight="1"/>
    <row r="1005" ht="15.75" customHeight="1"/>
    <row r="1006" ht="15.75" customHeight="1"/>
  </sheetData>
  <autoFilter ref="$A$3:$G$65"/>
  <mergeCells count="2">
    <mergeCell ref="A1:G1"/>
    <mergeCell ref="A2:G2"/>
  </mergeCells>
  <printOptions/>
  <pageMargins bottom="1.0" footer="0.0" header="0.0" left="0.75" right="0.75" top="1.0"/>
  <pageSetup paperSize="9" orientation="portrait"/>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00"/>
    <outlinePr summaryBelow="0" summaryRight="0"/>
  </sheetPr>
  <sheetViews>
    <sheetView workbookViewId="0">
      <pane ySplit="1.0" topLeftCell="A2" activePane="bottomLeft" state="frozen"/>
      <selection activeCell="B3" sqref="B3" pane="bottomLeft"/>
    </sheetView>
  </sheetViews>
  <sheetFormatPr customHeight="1" defaultColWidth="12.63" defaultRowHeight="15.0"/>
  <cols>
    <col customWidth="1" min="1" max="1" width="10.13"/>
    <col customWidth="1" min="2" max="2" width="60.13"/>
    <col customWidth="1" min="3" max="3" width="20.13"/>
    <col customWidth="1" min="4" max="4" width="27.63"/>
    <col customWidth="1" min="5" max="5" width="12.63"/>
    <col customWidth="1" min="6" max="6" width="20.13"/>
    <col customWidth="1" min="7" max="7" width="27.63"/>
  </cols>
  <sheetData>
    <row r="1">
      <c r="A1" s="42" t="s">
        <v>12</v>
      </c>
      <c r="B1" s="42" t="s">
        <v>728</v>
      </c>
      <c r="C1" s="42" t="s">
        <v>668</v>
      </c>
      <c r="D1" s="42" t="s">
        <v>28</v>
      </c>
      <c r="E1" s="42" t="s">
        <v>32</v>
      </c>
      <c r="F1" s="42" t="s">
        <v>33</v>
      </c>
      <c r="G1" s="42" t="s">
        <v>735</v>
      </c>
    </row>
    <row r="2">
      <c r="A2" s="47" t="s">
        <v>738</v>
      </c>
      <c r="B2" s="51" t="s">
        <v>782</v>
      </c>
      <c r="C2" s="51" t="s">
        <v>752</v>
      </c>
      <c r="D2" s="51" t="s">
        <v>784</v>
      </c>
      <c r="E2" s="51" t="s">
        <v>786</v>
      </c>
      <c r="F2" s="51" t="s">
        <v>756</v>
      </c>
      <c r="G2" s="51" t="s">
        <v>757</v>
      </c>
    </row>
    <row r="3">
      <c r="A3" s="47" t="s">
        <v>761</v>
      </c>
      <c r="B3" s="51" t="s">
        <v>792</v>
      </c>
      <c r="C3" s="51" t="s">
        <v>752</v>
      </c>
      <c r="D3" s="51" t="s">
        <v>793</v>
      </c>
      <c r="E3" s="51" t="s">
        <v>786</v>
      </c>
      <c r="F3" s="51" t="s">
        <v>756</v>
      </c>
      <c r="G3" s="51" t="s">
        <v>796</v>
      </c>
    </row>
    <row r="4">
      <c r="A4" s="47" t="s">
        <v>768</v>
      </c>
      <c r="B4" s="51" t="s">
        <v>798</v>
      </c>
      <c r="C4" s="51" t="s">
        <v>752</v>
      </c>
      <c r="D4" s="51" t="s">
        <v>800</v>
      </c>
      <c r="E4" s="51" t="s">
        <v>801</v>
      </c>
      <c r="F4" s="51" t="s">
        <v>756</v>
      </c>
      <c r="G4" s="51" t="s">
        <v>796</v>
      </c>
    </row>
    <row r="5">
      <c r="A5" s="47" t="s">
        <v>772</v>
      </c>
      <c r="B5" s="51" t="s">
        <v>805</v>
      </c>
      <c r="C5" s="51" t="s">
        <v>752</v>
      </c>
      <c r="D5" s="51" t="s">
        <v>806</v>
      </c>
      <c r="E5" s="51" t="s">
        <v>786</v>
      </c>
      <c r="F5" s="51" t="s">
        <v>756</v>
      </c>
      <c r="G5" s="51" t="s">
        <v>796</v>
      </c>
    </row>
    <row r="6">
      <c r="A6" s="47" t="s">
        <v>775</v>
      </c>
      <c r="B6" s="51" t="s">
        <v>809</v>
      </c>
      <c r="C6" s="51" t="s">
        <v>752</v>
      </c>
      <c r="D6" s="51" t="s">
        <v>811</v>
      </c>
      <c r="E6" s="51" t="s">
        <v>786</v>
      </c>
      <c r="F6" s="51" t="s">
        <v>756</v>
      </c>
      <c r="G6" s="51" t="s">
        <v>813</v>
      </c>
    </row>
    <row r="7">
      <c r="A7" s="47" t="s">
        <v>777</v>
      </c>
      <c r="B7" s="51" t="s">
        <v>816</v>
      </c>
      <c r="C7" s="51" t="s">
        <v>752</v>
      </c>
      <c r="D7" s="51" t="s">
        <v>817</v>
      </c>
      <c r="E7" s="51" t="s">
        <v>786</v>
      </c>
      <c r="F7" s="51" t="s">
        <v>756</v>
      </c>
      <c r="G7" s="51" t="s">
        <v>820</v>
      </c>
    </row>
    <row r="8">
      <c r="A8" s="47" t="s">
        <v>780</v>
      </c>
      <c r="B8" s="51" t="s">
        <v>822</v>
      </c>
      <c r="C8" s="51" t="s">
        <v>752</v>
      </c>
      <c r="D8" s="51" t="s">
        <v>823</v>
      </c>
      <c r="E8" s="51" t="s">
        <v>786</v>
      </c>
      <c r="F8" s="51" t="s">
        <v>756</v>
      </c>
      <c r="G8" s="51" t="s">
        <v>826</v>
      </c>
    </row>
    <row r="9">
      <c r="A9" s="55" t="s">
        <v>789</v>
      </c>
      <c r="B9" s="56" t="s">
        <v>833</v>
      </c>
      <c r="C9" s="56" t="s">
        <v>752</v>
      </c>
      <c r="D9" s="56" t="s">
        <v>836</v>
      </c>
      <c r="E9" s="56" t="s">
        <v>786</v>
      </c>
      <c r="F9" s="56" t="s">
        <v>756</v>
      </c>
      <c r="G9" s="56" t="s">
        <v>794</v>
      </c>
    </row>
    <row r="10">
      <c r="A10" s="55" t="s">
        <v>795</v>
      </c>
      <c r="B10" s="56" t="s">
        <v>840</v>
      </c>
      <c r="C10" s="56" t="s">
        <v>752</v>
      </c>
      <c r="D10" s="56" t="s">
        <v>842</v>
      </c>
      <c r="E10" s="56" t="s">
        <v>786</v>
      </c>
      <c r="F10" s="56" t="s">
        <v>756</v>
      </c>
      <c r="G10" s="56" t="s">
        <v>794</v>
      </c>
    </row>
    <row r="11">
      <c r="A11" s="55" t="s">
        <v>802</v>
      </c>
      <c r="B11" s="56" t="s">
        <v>844</v>
      </c>
      <c r="C11" s="56" t="s">
        <v>752</v>
      </c>
      <c r="D11" s="56" t="s">
        <v>846</v>
      </c>
      <c r="E11" s="56" t="s">
        <v>786</v>
      </c>
      <c r="F11" s="56" t="s">
        <v>847</v>
      </c>
      <c r="G11" s="56" t="s">
        <v>788</v>
      </c>
    </row>
    <row r="12">
      <c r="A12" s="47" t="s">
        <v>807</v>
      </c>
      <c r="B12" s="51" t="s">
        <v>849</v>
      </c>
      <c r="C12" s="51" t="s">
        <v>752</v>
      </c>
      <c r="D12" s="51" t="s">
        <v>850</v>
      </c>
      <c r="E12" s="51" t="s">
        <v>786</v>
      </c>
      <c r="F12" s="51" t="s">
        <v>756</v>
      </c>
      <c r="G12" s="51" t="s">
        <v>853</v>
      </c>
    </row>
    <row r="13">
      <c r="A13" s="55" t="s">
        <v>567</v>
      </c>
      <c r="B13" s="56" t="s">
        <v>856</v>
      </c>
      <c r="C13" s="56" t="s">
        <v>752</v>
      </c>
      <c r="D13" s="56" t="s">
        <v>857</v>
      </c>
      <c r="E13" s="56" t="s">
        <v>786</v>
      </c>
      <c r="F13" s="56" t="s">
        <v>855</v>
      </c>
      <c r="G13" s="56" t="s">
        <v>788</v>
      </c>
    </row>
    <row r="14">
      <c r="A14" s="47" t="s">
        <v>818</v>
      </c>
      <c r="B14" s="51" t="s">
        <v>861</v>
      </c>
      <c r="C14" s="51" t="s">
        <v>752</v>
      </c>
      <c r="D14" s="51" t="s">
        <v>863</v>
      </c>
      <c r="E14" s="51" t="s">
        <v>801</v>
      </c>
      <c r="F14" s="51" t="s">
        <v>756</v>
      </c>
      <c r="G14" s="51" t="s">
        <v>820</v>
      </c>
    </row>
    <row r="15">
      <c r="A15" s="55" t="s">
        <v>824</v>
      </c>
      <c r="B15" s="56" t="s">
        <v>866</v>
      </c>
      <c r="C15" s="56" t="s">
        <v>752</v>
      </c>
      <c r="D15" s="56" t="s">
        <v>869</v>
      </c>
      <c r="E15" s="56" t="s">
        <v>801</v>
      </c>
      <c r="F15" s="56" t="s">
        <v>756</v>
      </c>
      <c r="G15" s="56" t="s">
        <v>788</v>
      </c>
    </row>
    <row r="16">
      <c r="A16" s="55" t="s">
        <v>134</v>
      </c>
      <c r="B16" s="56" t="s">
        <v>873</v>
      </c>
      <c r="C16" s="56" t="s">
        <v>752</v>
      </c>
      <c r="D16" s="56" t="s">
        <v>874</v>
      </c>
      <c r="E16" s="56" t="s">
        <v>801</v>
      </c>
      <c r="F16" s="56" t="s">
        <v>876</v>
      </c>
      <c r="G16" s="56" t="s">
        <v>794</v>
      </c>
    </row>
    <row r="17">
      <c r="A17" s="47" t="s">
        <v>832</v>
      </c>
      <c r="B17" s="51" t="s">
        <v>879</v>
      </c>
      <c r="C17" s="51" t="s">
        <v>752</v>
      </c>
      <c r="D17" s="51" t="s">
        <v>881</v>
      </c>
      <c r="E17" s="51" t="s">
        <v>786</v>
      </c>
      <c r="F17" s="51" t="s">
        <v>756</v>
      </c>
      <c r="G17" s="51" t="s">
        <v>883</v>
      </c>
    </row>
    <row r="18">
      <c r="A18" s="55" t="s">
        <v>837</v>
      </c>
      <c r="B18" s="56" t="s">
        <v>886</v>
      </c>
      <c r="C18" s="56" t="s">
        <v>752</v>
      </c>
      <c r="D18" s="56" t="s">
        <v>888</v>
      </c>
      <c r="E18" s="56" t="s">
        <v>801</v>
      </c>
      <c r="F18" s="56" t="s">
        <v>756</v>
      </c>
      <c r="G18" s="56" t="s">
        <v>788</v>
      </c>
    </row>
    <row r="19">
      <c r="A19" s="55" t="s">
        <v>890</v>
      </c>
      <c r="B19" s="56" t="s">
        <v>892</v>
      </c>
      <c r="C19" s="56" t="s">
        <v>752</v>
      </c>
      <c r="D19" s="56" t="s">
        <v>894</v>
      </c>
      <c r="E19" s="56" t="s">
        <v>786</v>
      </c>
      <c r="F19" s="56" t="s">
        <v>756</v>
      </c>
      <c r="G19" s="56" t="s">
        <v>788</v>
      </c>
    </row>
    <row r="20">
      <c r="A20" s="47" t="s">
        <v>896</v>
      </c>
      <c r="B20" s="51" t="s">
        <v>899</v>
      </c>
      <c r="C20" s="51" t="s">
        <v>752</v>
      </c>
      <c r="D20" s="51" t="s">
        <v>901</v>
      </c>
      <c r="E20" s="51" t="s">
        <v>786</v>
      </c>
      <c r="F20" s="51" t="s">
        <v>756</v>
      </c>
      <c r="G20" s="51" t="s">
        <v>903</v>
      </c>
    </row>
    <row r="21">
      <c r="A21" s="47" t="s">
        <v>511</v>
      </c>
      <c r="B21" s="51" t="s">
        <v>904</v>
      </c>
      <c r="C21" s="51" t="s">
        <v>752</v>
      </c>
      <c r="D21" s="51" t="s">
        <v>905</v>
      </c>
      <c r="E21" s="51" t="s">
        <v>786</v>
      </c>
      <c r="F21" s="51" t="s">
        <v>756</v>
      </c>
      <c r="G21" s="51" t="s">
        <v>828</v>
      </c>
    </row>
    <row r="22">
      <c r="A22" s="47" t="s">
        <v>860</v>
      </c>
      <c r="B22" s="51" t="s">
        <v>910</v>
      </c>
      <c r="C22" s="51" t="s">
        <v>752</v>
      </c>
      <c r="D22" s="51" t="s">
        <v>911</v>
      </c>
      <c r="E22" s="51" t="s">
        <v>786</v>
      </c>
      <c r="F22" s="51" t="s">
        <v>756</v>
      </c>
      <c r="G22" s="51" t="s">
        <v>828</v>
      </c>
    </row>
    <row r="23">
      <c r="A23" s="47" t="s">
        <v>867</v>
      </c>
      <c r="B23" s="51" t="s">
        <v>918</v>
      </c>
      <c r="C23" s="51" t="s">
        <v>752</v>
      </c>
      <c r="D23" s="51" t="s">
        <v>920</v>
      </c>
      <c r="E23" s="51" t="s">
        <v>786</v>
      </c>
      <c r="F23" s="51" t="s">
        <v>756</v>
      </c>
      <c r="G23" s="51" t="s">
        <v>828</v>
      </c>
    </row>
    <row r="24">
      <c r="A24" s="47" t="s">
        <v>872</v>
      </c>
      <c r="B24" s="51" t="s">
        <v>922</v>
      </c>
      <c r="C24" s="51" t="s">
        <v>752</v>
      </c>
      <c r="D24" s="51" t="s">
        <v>923</v>
      </c>
      <c r="E24" s="51" t="s">
        <v>801</v>
      </c>
      <c r="F24" s="51" t="s">
        <v>756</v>
      </c>
      <c r="G24" s="51" t="s">
        <v>794</v>
      </c>
    </row>
    <row r="25">
      <c r="A25" s="47" t="s">
        <v>878</v>
      </c>
      <c r="B25" s="51" t="s">
        <v>927</v>
      </c>
      <c r="C25" s="51" t="s">
        <v>752</v>
      </c>
      <c r="D25" s="51" t="s">
        <v>929</v>
      </c>
      <c r="E25" s="51" t="s">
        <v>786</v>
      </c>
      <c r="F25" s="51" t="s">
        <v>756</v>
      </c>
      <c r="G25" s="51" t="s">
        <v>930</v>
      </c>
    </row>
    <row r="26">
      <c r="A26" s="47" t="s">
        <v>884</v>
      </c>
      <c r="B26" s="51" t="s">
        <v>933</v>
      </c>
      <c r="C26" s="51" t="s">
        <v>752</v>
      </c>
      <c r="D26" s="51" t="s">
        <v>934</v>
      </c>
      <c r="E26" s="51" t="s">
        <v>786</v>
      </c>
      <c r="F26" s="51" t="s">
        <v>756</v>
      </c>
      <c r="G26" s="51" t="s">
        <v>930</v>
      </c>
    </row>
    <row r="27">
      <c r="A27" s="55" t="s">
        <v>891</v>
      </c>
      <c r="B27" s="56" t="s">
        <v>938</v>
      </c>
      <c r="C27" s="56" t="s">
        <v>752</v>
      </c>
      <c r="D27" s="56" t="s">
        <v>939</v>
      </c>
      <c r="E27" s="56" t="s">
        <v>801</v>
      </c>
      <c r="F27" s="56" t="s">
        <v>756</v>
      </c>
      <c r="G27" s="56" t="s">
        <v>794</v>
      </c>
    </row>
    <row r="28">
      <c r="A28" s="55" t="s">
        <v>898</v>
      </c>
      <c r="B28" s="56" t="s">
        <v>941</v>
      </c>
      <c r="C28" s="56" t="s">
        <v>752</v>
      </c>
      <c r="D28" s="56" t="s">
        <v>942</v>
      </c>
      <c r="E28" s="56" t="s">
        <v>801</v>
      </c>
      <c r="F28" s="56" t="s">
        <v>756</v>
      </c>
      <c r="G28" s="56" t="s">
        <v>788</v>
      </c>
    </row>
    <row r="29">
      <c r="A29" s="55" t="s">
        <v>906</v>
      </c>
      <c r="B29" s="56" t="s">
        <v>944</v>
      </c>
      <c r="C29" s="56" t="s">
        <v>752</v>
      </c>
      <c r="D29" s="56" t="s">
        <v>945</v>
      </c>
      <c r="E29" s="56" t="s">
        <v>947</v>
      </c>
      <c r="F29" s="56" t="s">
        <v>756</v>
      </c>
      <c r="G29" s="56" t="s">
        <v>948</v>
      </c>
    </row>
    <row r="30">
      <c r="A30" s="55" t="s">
        <v>912</v>
      </c>
      <c r="B30" s="56" t="s">
        <v>950</v>
      </c>
      <c r="C30" s="56" t="s">
        <v>752</v>
      </c>
      <c r="D30" s="56" t="s">
        <v>952</v>
      </c>
      <c r="E30" s="56" t="s">
        <v>801</v>
      </c>
      <c r="F30" s="56" t="s">
        <v>756</v>
      </c>
      <c r="G30" s="56" t="s">
        <v>788</v>
      </c>
    </row>
    <row r="31">
      <c r="A31" s="47" t="s">
        <v>954</v>
      </c>
      <c r="B31" s="51" t="s">
        <v>955</v>
      </c>
      <c r="C31" s="51" t="s">
        <v>956</v>
      </c>
      <c r="D31" s="51" t="s">
        <v>957</v>
      </c>
      <c r="E31" s="51" t="s">
        <v>786</v>
      </c>
      <c r="F31" s="51" t="s">
        <v>959</v>
      </c>
      <c r="G31" s="51" t="s">
        <v>960</v>
      </c>
    </row>
    <row r="32">
      <c r="A32" s="55" t="s">
        <v>962</v>
      </c>
      <c r="B32" s="56" t="s">
        <v>963</v>
      </c>
      <c r="C32" s="56" t="s">
        <v>966</v>
      </c>
      <c r="D32" s="56" t="s">
        <v>967</v>
      </c>
      <c r="E32" s="56" t="s">
        <v>801</v>
      </c>
      <c r="F32" s="56" t="s">
        <v>756</v>
      </c>
      <c r="G32" s="56" t="s">
        <v>794</v>
      </c>
    </row>
    <row r="33">
      <c r="A33" s="47" t="s">
        <v>611</v>
      </c>
      <c r="B33" s="51" t="s">
        <v>968</v>
      </c>
      <c r="C33" s="51" t="s">
        <v>966</v>
      </c>
      <c r="D33" s="51" t="s">
        <v>970</v>
      </c>
      <c r="E33" s="51" t="s">
        <v>801</v>
      </c>
      <c r="F33" s="51" t="s">
        <v>756</v>
      </c>
      <c r="G33" s="51" t="s">
        <v>972</v>
      </c>
    </row>
    <row r="34">
      <c r="A34" s="55" t="s">
        <v>973</v>
      </c>
      <c r="B34" s="56" t="s">
        <v>975</v>
      </c>
      <c r="C34" s="56" t="s">
        <v>976</v>
      </c>
      <c r="D34" s="56" t="s">
        <v>977</v>
      </c>
      <c r="E34" s="56" t="s">
        <v>786</v>
      </c>
      <c r="F34" s="56" t="s">
        <v>756</v>
      </c>
      <c r="G34" s="56" t="s">
        <v>794</v>
      </c>
    </row>
    <row r="35">
      <c r="A35" s="55" t="s">
        <v>980</v>
      </c>
      <c r="B35" s="56" t="s">
        <v>981</v>
      </c>
      <c r="C35" s="56" t="s">
        <v>982</v>
      </c>
      <c r="D35" s="56" t="s">
        <v>983</v>
      </c>
      <c r="E35" s="56" t="s">
        <v>786</v>
      </c>
      <c r="F35" s="56" t="s">
        <v>756</v>
      </c>
      <c r="G35" s="56" t="s">
        <v>794</v>
      </c>
    </row>
    <row r="36">
      <c r="A36" s="47" t="s">
        <v>985</v>
      </c>
      <c r="B36" s="51" t="s">
        <v>987</v>
      </c>
      <c r="C36" s="51" t="s">
        <v>989</v>
      </c>
      <c r="D36" s="51" t="s">
        <v>990</v>
      </c>
      <c r="E36" s="51" t="s">
        <v>786</v>
      </c>
      <c r="F36" s="51" t="s">
        <v>756</v>
      </c>
      <c r="G36" s="51" t="s">
        <v>991</v>
      </c>
    </row>
    <row r="37">
      <c r="A37" s="55" t="s">
        <v>993</v>
      </c>
      <c r="B37" s="56" t="s">
        <v>994</v>
      </c>
      <c r="C37" s="56" t="s">
        <v>995</v>
      </c>
      <c r="D37" s="56" t="s">
        <v>997</v>
      </c>
      <c r="E37" s="56" t="s">
        <v>801</v>
      </c>
      <c r="F37" s="56" t="s">
        <v>998</v>
      </c>
      <c r="G37" s="56" t="s">
        <v>794</v>
      </c>
    </row>
    <row r="38">
      <c r="A38" s="47" t="s">
        <v>1001</v>
      </c>
      <c r="B38" s="51" t="s">
        <v>1002</v>
      </c>
      <c r="C38" s="51" t="s">
        <v>1003</v>
      </c>
      <c r="D38" s="51" t="s">
        <v>1004</v>
      </c>
      <c r="E38" s="51" t="s">
        <v>801</v>
      </c>
      <c r="F38" s="51" t="s">
        <v>1005</v>
      </c>
      <c r="G38" s="51" t="s">
        <v>930</v>
      </c>
    </row>
    <row r="39">
      <c r="A39" s="55" t="s">
        <v>1007</v>
      </c>
      <c r="B39" s="56" t="s">
        <v>1008</v>
      </c>
      <c r="C39" s="56" t="s">
        <v>1010</v>
      </c>
      <c r="D39" s="56" t="s">
        <v>1011</v>
      </c>
      <c r="E39" s="56" t="s">
        <v>801</v>
      </c>
      <c r="F39" s="56" t="s">
        <v>1013</v>
      </c>
      <c r="G39" s="56" t="s">
        <v>794</v>
      </c>
    </row>
  </sheetData>
  <autoFilter ref="$A$1:$G$39"/>
  <drawing r:id="rId1"/>
</worksheet>
</file>